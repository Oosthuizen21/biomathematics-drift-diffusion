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osth\Downloads\"/>
    </mc:Choice>
  </mc:AlternateContent>
  <xr:revisionPtr revIDLastSave="0" documentId="13_ncr:1_{FF672669-47E6-42E7-835F-1FC55AAAF309}" xr6:coauthVersionLast="47" xr6:coauthVersionMax="47" xr10:uidLastSave="{00000000-0000-0000-0000-000000000000}"/>
  <bookViews>
    <workbookView xWindow="-103" yWindow="-103" windowWidth="24892" windowHeight="14914" activeTab="3" xr2:uid="{00000000-000D-0000-FFFF-FFFF00000000}"/>
  </bookViews>
  <sheets>
    <sheet name="Trial Data" sheetId="1" r:id="rId1"/>
    <sheet name="RT by Difficulty" sheetId="2" r:id="rId2"/>
    <sheet name="Summary (2)" sheetId="4" r:id="rId3"/>
    <sheet name="Summary" sheetId="3" r:id="rId4"/>
  </sheets>
  <definedNames>
    <definedName name="ExternalData_1" localSheetId="2" hidden="1">'Summary (2)'!$A$1:$J$2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0" i="3" l="1"/>
  <c r="B41" i="3"/>
  <c r="B42" i="3"/>
  <c r="B37" i="3"/>
  <c r="B38" i="3"/>
  <c r="B39" i="3"/>
  <c r="B34" i="3"/>
  <c r="B35" i="3"/>
  <c r="B36" i="3"/>
  <c r="B32" i="3"/>
  <c r="B33" i="3"/>
  <c r="B27" i="3"/>
  <c r="B28" i="3"/>
  <c r="B29" i="3"/>
  <c r="B30" i="3"/>
  <c r="B31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7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4C98F4-EE0A-4AC2-B803-4F6A5AA81981}" keepAlive="1" name="Query - Summary" description="Connection to the 'Summary' query in the workbook." type="5" refreshedVersion="8" background="1" saveData="1">
    <dbPr connection="Provider=Microsoft.Mashup.OleDb.1;Data Source=$Workbook$;Location=Summary;Extended Properties=&quot;&quot;" command="SELECT * FROM [Summary]"/>
  </connection>
</connections>
</file>

<file path=xl/sharedStrings.xml><?xml version="1.0" encoding="utf-8"?>
<sst xmlns="http://schemas.openxmlformats.org/spreadsheetml/2006/main" count="545" uniqueCount="136">
  <si>
    <t>ParticipantID</t>
  </si>
  <si>
    <t>Trial</t>
  </si>
  <si>
    <t>Difficulty</t>
  </si>
  <si>
    <t>LeftCount</t>
  </si>
  <si>
    <t>RightCount</t>
  </si>
  <si>
    <t>CorrectAnswer</t>
  </si>
  <si>
    <t>Response</t>
  </si>
  <si>
    <t>Accuracy</t>
  </si>
  <si>
    <t>RT_ms</t>
  </si>
  <si>
    <t>RT_seconds</t>
  </si>
  <si>
    <t>Timestamp</t>
  </si>
  <si>
    <t>IsPractice</t>
  </si>
  <si>
    <t>Anticipatory</t>
  </si>
  <si>
    <t>SlowResponse</t>
  </si>
  <si>
    <t>P001</t>
  </si>
  <si>
    <t>Hard</t>
  </si>
  <si>
    <t>Left</t>
  </si>
  <si>
    <t>2026-09-01T08:56:14.523Z</t>
  </si>
  <si>
    <t>Medium</t>
  </si>
  <si>
    <t>2026-09-01T08:56:15.929Z</t>
  </si>
  <si>
    <t>Easy</t>
  </si>
  <si>
    <t>2026-09-01T08:56:17.131Z</t>
  </si>
  <si>
    <t>Right</t>
  </si>
  <si>
    <t>2026-09-01T08:56:18.438Z</t>
  </si>
  <si>
    <t>2026-09-01T08:56:19.667Z</t>
  </si>
  <si>
    <t>2026-09-01T08:56:20.822Z</t>
  </si>
  <si>
    <t>2026-09-01T08:56:21.945Z</t>
  </si>
  <si>
    <t>2026-09-01T08:56:23.160Z</t>
  </si>
  <si>
    <t>2026-09-01T08:56:24.369Z</t>
  </si>
  <si>
    <t>2026-09-01T08:56:25.581Z</t>
  </si>
  <si>
    <t>2026-09-01T08:56:26.955Z</t>
  </si>
  <si>
    <t>2026-09-01T08:56:28.173Z</t>
  </si>
  <si>
    <t>2026-09-01T08:56:29.419Z</t>
  </si>
  <si>
    <t>2026-09-01T08:56:30.596Z</t>
  </si>
  <si>
    <t>2026-09-01T08:56:31.849Z</t>
  </si>
  <si>
    <t>2026-09-01T08:56:33.022Z</t>
  </si>
  <si>
    <t>2026-09-01T08:56:34.322Z</t>
  </si>
  <si>
    <t>2026-09-01T08:56:35.487Z</t>
  </si>
  <si>
    <t>2026-09-01T08:56:36.637Z</t>
  </si>
  <si>
    <t>2026-09-01T08:56:37.797Z</t>
  </si>
  <si>
    <t>2026-09-01T08:56:39.040Z</t>
  </si>
  <si>
    <t>2026-09-01T08:56:40.208Z</t>
  </si>
  <si>
    <t>2026-09-01T08:56:41.343Z</t>
  </si>
  <si>
    <t>2026-09-01T08:56:42.674Z</t>
  </si>
  <si>
    <t>2026-09-01T08:56:43.851Z</t>
  </si>
  <si>
    <t>2026-09-01T08:56:44.996Z</t>
  </si>
  <si>
    <t>2026-09-01T08:56:46.368Z</t>
  </si>
  <si>
    <t>2026-09-01T08:56:47.510Z</t>
  </si>
  <si>
    <t>2026-09-01T08:56:48.669Z</t>
  </si>
  <si>
    <t>2026-09-01T08:56:49.843Z</t>
  </si>
  <si>
    <t>2026-09-01T08:56:51.089Z</t>
  </si>
  <si>
    <t>2026-09-01T08:56:52.434Z</t>
  </si>
  <si>
    <t>2026-09-01T08:56:53.590Z</t>
  </si>
  <si>
    <t>2026-09-01T08:56:54.794Z</t>
  </si>
  <si>
    <t>2026-09-01T08:56:56.068Z</t>
  </si>
  <si>
    <t>2026-09-01T08:56:57.299Z</t>
  </si>
  <si>
    <t>2026-09-01T08:56:58.616Z</t>
  </si>
  <si>
    <t>2026-09-01T08:57:00.056Z</t>
  </si>
  <si>
    <t>2026-09-01T08:57:01.422Z</t>
  </si>
  <si>
    <t>2026-09-01T08:57:02.945Z</t>
  </si>
  <si>
    <t>2026-09-01T08:57:04.197Z</t>
  </si>
  <si>
    <t>2026-09-01T08:57:05.538Z</t>
  </si>
  <si>
    <t>2026-09-01T08:57:06.999Z</t>
  </si>
  <si>
    <t>2026-09-01T08:57:08.442Z</t>
  </si>
  <si>
    <t>2026-09-01T08:57:09.649Z</t>
  </si>
  <si>
    <t>2026-09-01T08:57:10.867Z</t>
  </si>
  <si>
    <t>2026-09-01T08:57:12.226Z</t>
  </si>
  <si>
    <t>2026-09-01T08:57:13.558Z</t>
  </si>
  <si>
    <t>2026-09-01T08:57:14.923Z</t>
  </si>
  <si>
    <t>2026-09-01T08:57:16.359Z</t>
  </si>
  <si>
    <t>2026-09-01T08:57:17.571Z</t>
  </si>
  <si>
    <t>2026-09-01T08:57:18.752Z</t>
  </si>
  <si>
    <t>2026-09-01T08:57:20.287Z</t>
  </si>
  <si>
    <t>2026-09-01T08:57:21.704Z</t>
  </si>
  <si>
    <t>2026-09-01T08:57:22.924Z</t>
  </si>
  <si>
    <t>2026-09-01T08:57:24.175Z</t>
  </si>
  <si>
    <t>2026-09-01T08:57:25.504Z</t>
  </si>
  <si>
    <t>2026-09-01T08:57:26.678Z</t>
  </si>
  <si>
    <t>2026-09-01T08:57:27.865Z</t>
  </si>
  <si>
    <t>2026-09-01T08:57:29.152Z</t>
  </si>
  <si>
    <t>2026-09-01T08:57:30.281Z</t>
  </si>
  <si>
    <t>2026-09-01T08:57:31.427Z</t>
  </si>
  <si>
    <t>2026-09-01T08:57:32.662Z</t>
  </si>
  <si>
    <t>2026-09-01T08:57:33.912Z</t>
  </si>
  <si>
    <t>2026-09-01T08:57:35.235Z</t>
  </si>
  <si>
    <t>2026-09-01T08:57:36.466Z</t>
  </si>
  <si>
    <t>2026-09-01T08:57:37.881Z</t>
  </si>
  <si>
    <t>2026-09-01T08:57:39.135Z</t>
  </si>
  <si>
    <t>2026-09-01T08:57:40.351Z</t>
  </si>
  <si>
    <t>2026-09-01T08:57:41.607Z</t>
  </si>
  <si>
    <t>2026-09-01T08:57:43.032Z</t>
  </si>
  <si>
    <t>2026-09-01T08:57:44.204Z</t>
  </si>
  <si>
    <t>2026-09-01T08:57:45.646Z</t>
  </si>
  <si>
    <t>2026-09-01T08:57:46.848Z</t>
  </si>
  <si>
    <t>2026-09-01T08:57:48.146Z</t>
  </si>
  <si>
    <t>2026-09-01T08:57:49.425Z</t>
  </si>
  <si>
    <t>2026-09-01T08:57:50.811Z</t>
  </si>
  <si>
    <t>2026-09-01T08:57:52.278Z</t>
  </si>
  <si>
    <t>2026-09-01T08:57:53.841Z</t>
  </si>
  <si>
    <t>2026-09-01T08:57:55.269Z</t>
  </si>
  <si>
    <t>2026-09-01T08:57:56.673Z</t>
  </si>
  <si>
    <t>2026-09-01T08:57:57.910Z</t>
  </si>
  <si>
    <t>2026-09-01T08:57:59.190Z</t>
  </si>
  <si>
    <t>2026-09-01T08:58:00.560Z</t>
  </si>
  <si>
    <t>2026-09-01T08:58:01.966Z</t>
  </si>
  <si>
    <t>2026-09-01T08:58:03.536Z</t>
  </si>
  <si>
    <t>2026-09-01T08:58:05.054Z</t>
  </si>
  <si>
    <t>2026-09-01T08:58:06.279Z</t>
  </si>
  <si>
    <t>2026-09-01T08:58:07.609Z</t>
  </si>
  <si>
    <t>2026-09-01T08:58:08.844Z</t>
  </si>
  <si>
    <t>2026-09-01T08:58:10.185Z</t>
  </si>
  <si>
    <t>2026-09-01T08:58:11.527Z</t>
  </si>
  <si>
    <t>2026-09-01T08:58:12.973Z</t>
  </si>
  <si>
    <t>2026-09-01T08:58:14.306Z</t>
  </si>
  <si>
    <t>2026-09-01T08:58:15.577Z</t>
  </si>
  <si>
    <t>2026-09-01T08:58:17.033Z</t>
  </si>
  <si>
    <t>2026-09-01T08:58:18.526Z</t>
  </si>
  <si>
    <t>2026-09-01T08:58:19.780Z</t>
  </si>
  <si>
    <t>2026-09-01T08:58:21.281Z</t>
  </si>
  <si>
    <t>2026-09-01T08:58:22.481Z</t>
  </si>
  <si>
    <t>Easy_RT_ms</t>
  </si>
  <si>
    <t>Medium_RT_ms</t>
  </si>
  <si>
    <t>Hard_RT_ms</t>
  </si>
  <si>
    <t/>
  </si>
  <si>
    <t>OverallAccuracy</t>
  </si>
  <si>
    <t>OverallMeanRT</t>
  </si>
  <si>
    <t>OverallMedianRT</t>
  </si>
  <si>
    <t>EasyAccuracy</t>
  </si>
  <si>
    <t>EasyMeanRT</t>
  </si>
  <si>
    <t>MediumAccuracy</t>
  </si>
  <si>
    <t>MediumMeanRT</t>
  </si>
  <si>
    <t>HardAccuracy</t>
  </si>
  <si>
    <t>HardMeanRT</t>
  </si>
  <si>
    <t>Mean Rt</t>
  </si>
  <si>
    <t>RT</t>
  </si>
  <si>
    <t>P002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</si>
</sst>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numFmt numFmtId="0" formatCode="General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Summary!$D$7:$D$9</c:f>
              <c:numCache>
                <c:formatCode>General</c:formatCode>
                <c:ptCount val="3"/>
                <c:pt idx="0">
                  <c:v>100</c:v>
                </c:pt>
                <c:pt idx="1">
                  <c:v>85.3</c:v>
                </c:pt>
                <c:pt idx="2">
                  <c:v>75.8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FA-4863-ABB0-4EF06AB7D93B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Summary!$E$10:$E$12</c:f>
              <c:numCache>
                <c:formatCode>General</c:formatCode>
                <c:ptCount val="3"/>
                <c:pt idx="0">
                  <c:v>100</c:v>
                </c:pt>
                <c:pt idx="1">
                  <c:v>97.1</c:v>
                </c:pt>
                <c:pt idx="2">
                  <c:v>72.7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FA-4863-ABB0-4EF06AB7D93B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Summary!$F$13:$F$15</c:f>
              <c:numCache>
                <c:formatCode>General</c:formatCode>
                <c:ptCount val="3"/>
                <c:pt idx="0">
                  <c:v>100</c:v>
                </c:pt>
                <c:pt idx="1">
                  <c:v>91.2</c:v>
                </c:pt>
                <c:pt idx="2">
                  <c:v>69.7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FA-4863-ABB0-4EF06AB7D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3953711"/>
        <c:axId val="1888083887"/>
      </c:lineChart>
      <c:catAx>
        <c:axId val="18339537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8083887"/>
        <c:crosses val="autoZero"/>
        <c:auto val="1"/>
        <c:lblAlgn val="ctr"/>
        <c:lblOffset val="100"/>
        <c:noMultiLvlLbl val="0"/>
      </c:catAx>
      <c:valAx>
        <c:axId val="188808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953711"/>
        <c:crosses val="autoZero"/>
        <c:crossBetween val="between"/>
      </c:valAx>
      <c:spPr>
        <a:noFill/>
        <a:ln>
          <a:noFill/>
        </a:ln>
        <a:effectLst>
          <a:outerShdw blurRad="50800" dist="50800" dir="5400000" sx="1000" sy="1000" algn="ctr" rotWithShape="0">
            <a:srgbClr val="000000">
              <a:alpha val="43137"/>
            </a:srgbClr>
          </a:outerShdw>
        </a:effectLst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566886</xdr:colOff>
      <xdr:row>7</xdr:row>
      <xdr:rowOff>198986</xdr:rowOff>
    </xdr:from>
    <xdr:to>
      <xdr:col>13</xdr:col>
      <xdr:colOff>263378</xdr:colOff>
      <xdr:row>21</xdr:row>
      <xdr:rowOff>100830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00678E-A53F-B201-CDD6-E70FB224F4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D4453D3-D445-447E-89C8-AED80ADAE681}" autoFormatId="16" applyNumberFormats="0" applyBorderFormats="0" applyFontFormats="0" applyPatternFormats="0" applyAlignmentFormats="0" applyWidthHeightFormats="0">
  <queryTableRefresh nextId="11">
    <queryTableFields count="10">
      <queryTableField id="1" name="ParticipantID" tableColumnId="1"/>
      <queryTableField id="2" name="OverallAccuracy" tableColumnId="2"/>
      <queryTableField id="3" name="OverallMeanRT" tableColumnId="3"/>
      <queryTableField id="4" name="OverallMedianRT" tableColumnId="4"/>
      <queryTableField id="5" name="EasyAccuracy" tableColumnId="5"/>
      <queryTableField id="6" name="EasyMeanRT" tableColumnId="6"/>
      <queryTableField id="7" name="MediumAccuracy" tableColumnId="7"/>
      <queryTableField id="8" name="MediumMeanRT" tableColumnId="8"/>
      <queryTableField id="9" name="HardAccuracy" tableColumnId="9"/>
      <queryTableField id="10" name="HardMeanRT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41E7AE-A72B-45BA-83BB-78782E551849}" name="Summary" displayName="Summary" ref="A1:J2" tableType="queryTable" totalsRowShown="0">
  <autoFilter ref="A1:J2" xr:uid="{B241E7AE-A72B-45BA-83BB-78782E551849}"/>
  <tableColumns count="10">
    <tableColumn id="1" xr3:uid="{B8A573BE-7869-4268-8D7A-07F80A288427}" uniqueName="1" name="ParticipantID" queryTableFieldId="1" dataDxfId="3"/>
    <tableColumn id="2" xr3:uid="{C50888DF-099C-4717-9DEF-9905546F2950}" uniqueName="2" name="OverallAccuracy" queryTableFieldId="2"/>
    <tableColumn id="3" xr3:uid="{5448F7E0-FAB2-4E1D-A21C-D74BCAA714CC}" uniqueName="3" name="OverallMeanRT" queryTableFieldId="3"/>
    <tableColumn id="4" xr3:uid="{09CFFBBB-6F01-41E7-A748-0242D868CA77}" uniqueName="4" name="OverallMedianRT" queryTableFieldId="4"/>
    <tableColumn id="5" xr3:uid="{E64343FD-2D21-40BF-AF73-97AF88752E05}" uniqueName="5" name="EasyAccuracy" queryTableFieldId="5"/>
    <tableColumn id="6" xr3:uid="{79D17836-5A69-41CC-BDBA-CAA130F5F707}" uniqueName="6" name="EasyMeanRT" queryTableFieldId="6"/>
    <tableColumn id="7" xr3:uid="{8D9B2A0F-8E7D-4C0B-B492-3B75266FA5AA}" uniqueName="7" name="MediumAccuracy" queryTableFieldId="7"/>
    <tableColumn id="8" xr3:uid="{987B1242-6F76-47C5-8A88-37B88E73BF47}" uniqueName="8" name="MediumMeanRT" queryTableFieldId="8"/>
    <tableColumn id="9" xr3:uid="{5E942BC1-2965-4BE0-95B8-B03F1D083DC0}" uniqueName="9" name="HardAccuracy" queryTableFieldId="9"/>
    <tableColumn id="10" xr3:uid="{E11CF6E6-9928-4101-B0E8-8D2F7C877B27}" uniqueName="10" name="HardMeanRT" queryTableFieldId="1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4"/>
  <sheetViews>
    <sheetView topLeftCell="A79" workbookViewId="0">
      <selection activeCell="L88" sqref="L88"/>
    </sheetView>
  </sheetViews>
  <sheetFormatPr defaultRowHeight="15.9" x14ac:dyDescent="0.45"/>
  <sheetData>
    <row r="1" spans="1:1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45">
      <c r="A2" t="s">
        <v>14</v>
      </c>
      <c r="B2">
        <v>3</v>
      </c>
      <c r="C2" t="s">
        <v>20</v>
      </c>
      <c r="D2">
        <v>83</v>
      </c>
      <c r="E2">
        <v>17</v>
      </c>
      <c r="F2" t="s">
        <v>16</v>
      </c>
      <c r="G2" t="s">
        <v>16</v>
      </c>
      <c r="H2">
        <v>1</v>
      </c>
      <c r="I2">
        <v>434.7</v>
      </c>
      <c r="J2">
        <v>0.43469999999999998</v>
      </c>
      <c r="K2" t="s">
        <v>17</v>
      </c>
      <c r="L2">
        <v>0</v>
      </c>
      <c r="M2">
        <v>0</v>
      </c>
      <c r="N2">
        <v>0</v>
      </c>
    </row>
    <row r="3" spans="1:14" x14ac:dyDescent="0.45">
      <c r="A3" t="s">
        <v>14</v>
      </c>
      <c r="B3">
        <v>6</v>
      </c>
      <c r="C3" t="s">
        <v>20</v>
      </c>
      <c r="D3">
        <v>18</v>
      </c>
      <c r="E3">
        <v>82</v>
      </c>
      <c r="F3" t="s">
        <v>22</v>
      </c>
      <c r="G3" t="s">
        <v>22</v>
      </c>
      <c r="H3">
        <v>1</v>
      </c>
      <c r="I3">
        <v>390.8</v>
      </c>
      <c r="J3">
        <v>0.39079999999999998</v>
      </c>
      <c r="K3" t="s">
        <v>19</v>
      </c>
      <c r="L3">
        <v>0</v>
      </c>
      <c r="M3">
        <v>0</v>
      </c>
      <c r="N3">
        <v>0</v>
      </c>
    </row>
    <row r="4" spans="1:14" x14ac:dyDescent="0.45">
      <c r="A4" t="s">
        <v>14</v>
      </c>
      <c r="B4">
        <v>7</v>
      </c>
      <c r="C4" t="s">
        <v>20</v>
      </c>
      <c r="D4">
        <v>85</v>
      </c>
      <c r="E4">
        <v>15</v>
      </c>
      <c r="F4" t="s">
        <v>16</v>
      </c>
      <c r="G4" t="s">
        <v>16</v>
      </c>
      <c r="H4">
        <v>1</v>
      </c>
      <c r="I4">
        <v>350.9</v>
      </c>
      <c r="J4">
        <v>0.35089999999999999</v>
      </c>
      <c r="K4" t="s">
        <v>21</v>
      </c>
      <c r="L4">
        <v>0</v>
      </c>
      <c r="M4">
        <v>0</v>
      </c>
      <c r="N4">
        <v>0</v>
      </c>
    </row>
    <row r="5" spans="1:14" x14ac:dyDescent="0.45">
      <c r="A5" t="s">
        <v>14</v>
      </c>
      <c r="B5">
        <v>12</v>
      </c>
      <c r="C5" t="s">
        <v>20</v>
      </c>
      <c r="D5">
        <v>25</v>
      </c>
      <c r="E5">
        <v>75</v>
      </c>
      <c r="F5" t="s">
        <v>22</v>
      </c>
      <c r="G5" t="s">
        <v>22</v>
      </c>
      <c r="H5">
        <v>1</v>
      </c>
      <c r="I5">
        <v>455.4</v>
      </c>
      <c r="J5">
        <v>0.45540000000000003</v>
      </c>
      <c r="K5" t="s">
        <v>23</v>
      </c>
      <c r="L5">
        <v>0</v>
      </c>
      <c r="M5">
        <v>0</v>
      </c>
      <c r="N5">
        <v>0</v>
      </c>
    </row>
    <row r="6" spans="1:14" x14ac:dyDescent="0.45">
      <c r="A6" t="s">
        <v>14</v>
      </c>
      <c r="B6">
        <v>13</v>
      </c>
      <c r="C6" t="s">
        <v>20</v>
      </c>
      <c r="D6">
        <v>25</v>
      </c>
      <c r="E6">
        <v>75</v>
      </c>
      <c r="F6" t="s">
        <v>22</v>
      </c>
      <c r="G6" t="s">
        <v>22</v>
      </c>
      <c r="H6">
        <v>1</v>
      </c>
      <c r="I6">
        <v>489.2</v>
      </c>
      <c r="J6">
        <v>0.48920000000000002</v>
      </c>
      <c r="K6" t="s">
        <v>24</v>
      </c>
      <c r="L6">
        <v>0</v>
      </c>
      <c r="M6">
        <v>0</v>
      </c>
      <c r="N6">
        <v>0</v>
      </c>
    </row>
    <row r="7" spans="1:14" x14ac:dyDescent="0.45">
      <c r="A7" t="s">
        <v>14</v>
      </c>
      <c r="B7">
        <v>16</v>
      </c>
      <c r="C7" t="s">
        <v>20</v>
      </c>
      <c r="D7">
        <v>20</v>
      </c>
      <c r="E7">
        <v>80</v>
      </c>
      <c r="F7" t="s">
        <v>22</v>
      </c>
      <c r="G7" t="s">
        <v>22</v>
      </c>
      <c r="H7">
        <v>1</v>
      </c>
      <c r="I7">
        <v>411</v>
      </c>
      <c r="J7">
        <v>0.41099999999999998</v>
      </c>
      <c r="K7" t="s">
        <v>25</v>
      </c>
      <c r="L7">
        <v>0</v>
      </c>
      <c r="M7">
        <v>0</v>
      </c>
      <c r="N7">
        <v>0</v>
      </c>
    </row>
    <row r="8" spans="1:14" x14ac:dyDescent="0.45">
      <c r="A8" t="s">
        <v>14</v>
      </c>
      <c r="B8">
        <v>18</v>
      </c>
      <c r="C8" t="s">
        <v>20</v>
      </c>
      <c r="D8">
        <v>23</v>
      </c>
      <c r="E8">
        <v>77</v>
      </c>
      <c r="F8" t="s">
        <v>22</v>
      </c>
      <c r="G8" t="s">
        <v>22</v>
      </c>
      <c r="H8">
        <v>1</v>
      </c>
      <c r="I8">
        <v>391.1</v>
      </c>
      <c r="J8">
        <v>0.3911</v>
      </c>
      <c r="K8" t="s">
        <v>26</v>
      </c>
      <c r="L8">
        <v>0</v>
      </c>
      <c r="M8">
        <v>0</v>
      </c>
      <c r="N8">
        <v>0</v>
      </c>
    </row>
    <row r="9" spans="1:14" x14ac:dyDescent="0.45">
      <c r="A9" t="s">
        <v>14</v>
      </c>
      <c r="B9">
        <v>22</v>
      </c>
      <c r="C9" t="s">
        <v>20</v>
      </c>
      <c r="D9">
        <v>75</v>
      </c>
      <c r="E9">
        <v>25</v>
      </c>
      <c r="F9" t="s">
        <v>16</v>
      </c>
      <c r="G9" t="s">
        <v>16</v>
      </c>
      <c r="H9">
        <v>1</v>
      </c>
      <c r="I9">
        <v>407.6</v>
      </c>
      <c r="J9">
        <v>0.40760000000000002</v>
      </c>
      <c r="K9" t="s">
        <v>27</v>
      </c>
      <c r="L9">
        <v>0</v>
      </c>
      <c r="M9">
        <v>0</v>
      </c>
      <c r="N9">
        <v>0</v>
      </c>
    </row>
    <row r="10" spans="1:14" x14ac:dyDescent="0.45">
      <c r="A10" t="s">
        <v>14</v>
      </c>
      <c r="B10">
        <v>23</v>
      </c>
      <c r="C10" t="s">
        <v>20</v>
      </c>
      <c r="D10">
        <v>25</v>
      </c>
      <c r="E10">
        <v>75</v>
      </c>
      <c r="F10" t="s">
        <v>22</v>
      </c>
      <c r="G10" t="s">
        <v>22</v>
      </c>
      <c r="H10">
        <v>1</v>
      </c>
      <c r="I10">
        <v>369.3</v>
      </c>
      <c r="J10">
        <v>0.36930000000000002</v>
      </c>
      <c r="K10" t="s">
        <v>28</v>
      </c>
      <c r="L10">
        <v>0</v>
      </c>
      <c r="M10">
        <v>0</v>
      </c>
      <c r="N10">
        <v>0</v>
      </c>
    </row>
    <row r="11" spans="1:14" x14ac:dyDescent="0.45">
      <c r="A11" t="s">
        <v>14</v>
      </c>
      <c r="B11">
        <v>26</v>
      </c>
      <c r="C11" t="s">
        <v>20</v>
      </c>
      <c r="D11">
        <v>17</v>
      </c>
      <c r="E11">
        <v>83</v>
      </c>
      <c r="F11" t="s">
        <v>22</v>
      </c>
      <c r="G11" t="s">
        <v>22</v>
      </c>
      <c r="H11">
        <v>1</v>
      </c>
      <c r="I11">
        <v>376.3</v>
      </c>
      <c r="J11">
        <v>0.37630000000000002</v>
      </c>
      <c r="K11" t="s">
        <v>29</v>
      </c>
      <c r="L11">
        <v>0</v>
      </c>
      <c r="M11">
        <v>0</v>
      </c>
      <c r="N11">
        <v>0</v>
      </c>
    </row>
    <row r="12" spans="1:14" x14ac:dyDescent="0.45">
      <c r="A12" t="s">
        <v>14</v>
      </c>
      <c r="B12">
        <v>28</v>
      </c>
      <c r="C12" t="s">
        <v>20</v>
      </c>
      <c r="D12">
        <v>83</v>
      </c>
      <c r="E12">
        <v>17</v>
      </c>
      <c r="F12" t="s">
        <v>16</v>
      </c>
      <c r="G12" t="s">
        <v>16</v>
      </c>
      <c r="H12">
        <v>1</v>
      </c>
      <c r="I12">
        <v>378.3</v>
      </c>
      <c r="J12">
        <v>0.37830000000000003</v>
      </c>
      <c r="K12" t="s">
        <v>30</v>
      </c>
      <c r="L12">
        <v>0</v>
      </c>
      <c r="M12">
        <v>0</v>
      </c>
      <c r="N12">
        <v>0</v>
      </c>
    </row>
    <row r="13" spans="1:14" x14ac:dyDescent="0.45">
      <c r="A13" t="s">
        <v>14</v>
      </c>
      <c r="B13">
        <v>29</v>
      </c>
      <c r="C13" t="s">
        <v>20</v>
      </c>
      <c r="D13">
        <v>75</v>
      </c>
      <c r="E13">
        <v>25</v>
      </c>
      <c r="F13" t="s">
        <v>16</v>
      </c>
      <c r="G13" t="s">
        <v>16</v>
      </c>
      <c r="H13">
        <v>1</v>
      </c>
      <c r="I13">
        <v>389.4</v>
      </c>
      <c r="J13">
        <v>0.38940000000000002</v>
      </c>
      <c r="K13" t="s">
        <v>31</v>
      </c>
      <c r="L13">
        <v>0</v>
      </c>
      <c r="M13">
        <v>0</v>
      </c>
      <c r="N13">
        <v>0</v>
      </c>
    </row>
    <row r="14" spans="1:14" x14ac:dyDescent="0.45">
      <c r="A14" t="s">
        <v>14</v>
      </c>
      <c r="B14">
        <v>33</v>
      </c>
      <c r="C14" t="s">
        <v>20</v>
      </c>
      <c r="D14">
        <v>18</v>
      </c>
      <c r="E14">
        <v>82</v>
      </c>
      <c r="F14" t="s">
        <v>22</v>
      </c>
      <c r="G14" t="s">
        <v>22</v>
      </c>
      <c r="H14">
        <v>1</v>
      </c>
      <c r="I14">
        <v>395.1</v>
      </c>
      <c r="J14">
        <v>0.39510000000000001</v>
      </c>
      <c r="K14" t="s">
        <v>32</v>
      </c>
      <c r="L14">
        <v>0</v>
      </c>
      <c r="M14">
        <v>0</v>
      </c>
      <c r="N14">
        <v>0</v>
      </c>
    </row>
    <row r="15" spans="1:14" x14ac:dyDescent="0.45">
      <c r="A15" t="s">
        <v>14</v>
      </c>
      <c r="B15">
        <v>40</v>
      </c>
      <c r="C15" t="s">
        <v>20</v>
      </c>
      <c r="D15">
        <v>82</v>
      </c>
      <c r="E15">
        <v>18</v>
      </c>
      <c r="F15" t="s">
        <v>16</v>
      </c>
      <c r="G15" t="s">
        <v>16</v>
      </c>
      <c r="H15">
        <v>1</v>
      </c>
      <c r="I15">
        <v>746.2</v>
      </c>
      <c r="J15">
        <v>0.74619999999999997</v>
      </c>
      <c r="K15" t="s">
        <v>33</v>
      </c>
      <c r="L15">
        <v>0</v>
      </c>
      <c r="M15">
        <v>0</v>
      </c>
      <c r="N15">
        <v>0</v>
      </c>
    </row>
    <row r="16" spans="1:14" x14ac:dyDescent="0.45">
      <c r="A16" t="s">
        <v>14</v>
      </c>
      <c r="B16">
        <v>41</v>
      </c>
      <c r="C16" t="s">
        <v>20</v>
      </c>
      <c r="D16">
        <v>80</v>
      </c>
      <c r="E16">
        <v>20</v>
      </c>
      <c r="F16" t="s">
        <v>16</v>
      </c>
      <c r="G16" t="s">
        <v>16</v>
      </c>
      <c r="H16">
        <v>1</v>
      </c>
      <c r="I16">
        <v>488.6</v>
      </c>
      <c r="J16">
        <v>0.48859999999999998</v>
      </c>
      <c r="K16" t="s">
        <v>34</v>
      </c>
      <c r="L16">
        <v>0</v>
      </c>
      <c r="M16">
        <v>0</v>
      </c>
      <c r="N16">
        <v>0</v>
      </c>
    </row>
    <row r="17" spans="1:14" x14ac:dyDescent="0.45">
      <c r="A17" t="s">
        <v>14</v>
      </c>
      <c r="B17">
        <v>46</v>
      </c>
      <c r="C17" t="s">
        <v>20</v>
      </c>
      <c r="D17">
        <v>16</v>
      </c>
      <c r="E17">
        <v>84</v>
      </c>
      <c r="F17" t="s">
        <v>22</v>
      </c>
      <c r="G17" t="s">
        <v>22</v>
      </c>
      <c r="H17">
        <v>1</v>
      </c>
      <c r="I17">
        <v>451</v>
      </c>
      <c r="J17">
        <v>0.45100000000000001</v>
      </c>
      <c r="K17" t="s">
        <v>35</v>
      </c>
      <c r="L17">
        <v>0</v>
      </c>
      <c r="M17">
        <v>0</v>
      </c>
      <c r="N17">
        <v>0</v>
      </c>
    </row>
    <row r="18" spans="1:14" x14ac:dyDescent="0.45">
      <c r="A18" t="s">
        <v>14</v>
      </c>
      <c r="B18">
        <v>47</v>
      </c>
      <c r="C18" t="s">
        <v>20</v>
      </c>
      <c r="D18">
        <v>22</v>
      </c>
      <c r="E18">
        <v>78</v>
      </c>
      <c r="F18" t="s">
        <v>22</v>
      </c>
      <c r="G18" t="s">
        <v>22</v>
      </c>
      <c r="H18">
        <v>1</v>
      </c>
      <c r="I18">
        <v>591.6</v>
      </c>
      <c r="J18">
        <v>0.59160000000000001</v>
      </c>
      <c r="K18" t="s">
        <v>36</v>
      </c>
      <c r="L18">
        <v>0</v>
      </c>
      <c r="M18">
        <v>0</v>
      </c>
      <c r="N18">
        <v>0</v>
      </c>
    </row>
    <row r="19" spans="1:14" x14ac:dyDescent="0.45">
      <c r="A19" t="s">
        <v>14</v>
      </c>
      <c r="B19">
        <v>48</v>
      </c>
      <c r="C19" t="s">
        <v>20</v>
      </c>
      <c r="D19">
        <v>78</v>
      </c>
      <c r="E19">
        <v>22</v>
      </c>
      <c r="F19" t="s">
        <v>16</v>
      </c>
      <c r="G19" t="s">
        <v>16</v>
      </c>
      <c r="H19">
        <v>1</v>
      </c>
      <c r="I19">
        <v>566.20000000000005</v>
      </c>
      <c r="J19">
        <v>0.56620000000000004</v>
      </c>
      <c r="K19" t="s">
        <v>37</v>
      </c>
      <c r="L19">
        <v>0</v>
      </c>
      <c r="M19">
        <v>0</v>
      </c>
      <c r="N19">
        <v>0</v>
      </c>
    </row>
    <row r="20" spans="1:14" x14ac:dyDescent="0.45">
      <c r="A20" t="s">
        <v>14</v>
      </c>
      <c r="B20">
        <v>52</v>
      </c>
      <c r="C20" t="s">
        <v>20</v>
      </c>
      <c r="D20">
        <v>79</v>
      </c>
      <c r="E20">
        <v>21</v>
      </c>
      <c r="F20" t="s">
        <v>16</v>
      </c>
      <c r="G20" t="s">
        <v>16</v>
      </c>
      <c r="H20">
        <v>1</v>
      </c>
      <c r="I20">
        <v>412.2</v>
      </c>
      <c r="J20">
        <v>0.41220000000000001</v>
      </c>
      <c r="K20" t="s">
        <v>38</v>
      </c>
      <c r="L20">
        <v>0</v>
      </c>
      <c r="M20">
        <v>0</v>
      </c>
      <c r="N20">
        <v>0</v>
      </c>
    </row>
    <row r="21" spans="1:14" x14ac:dyDescent="0.45">
      <c r="A21" t="s">
        <v>14</v>
      </c>
      <c r="B21">
        <v>55</v>
      </c>
      <c r="C21" t="s">
        <v>20</v>
      </c>
      <c r="D21">
        <v>24</v>
      </c>
      <c r="E21">
        <v>76</v>
      </c>
      <c r="F21" t="s">
        <v>22</v>
      </c>
      <c r="G21" t="s">
        <v>22</v>
      </c>
      <c r="H21">
        <v>1</v>
      </c>
      <c r="I21">
        <v>454.8</v>
      </c>
      <c r="J21">
        <v>0.45479999999999998</v>
      </c>
      <c r="K21" t="s">
        <v>39</v>
      </c>
      <c r="L21">
        <v>0</v>
      </c>
      <c r="M21">
        <v>0</v>
      </c>
      <c r="N21">
        <v>0</v>
      </c>
    </row>
    <row r="22" spans="1:14" x14ac:dyDescent="0.45">
      <c r="A22" t="s">
        <v>14</v>
      </c>
      <c r="B22">
        <v>58</v>
      </c>
      <c r="C22" t="s">
        <v>20</v>
      </c>
      <c r="D22">
        <v>24</v>
      </c>
      <c r="E22">
        <v>76</v>
      </c>
      <c r="F22" t="s">
        <v>22</v>
      </c>
      <c r="G22" t="s">
        <v>22</v>
      </c>
      <c r="H22">
        <v>1</v>
      </c>
      <c r="I22">
        <v>411.9</v>
      </c>
      <c r="J22">
        <v>0.41189999999999999</v>
      </c>
      <c r="K22" t="s">
        <v>40</v>
      </c>
      <c r="L22">
        <v>0</v>
      </c>
      <c r="M22">
        <v>0</v>
      </c>
      <c r="N22">
        <v>0</v>
      </c>
    </row>
    <row r="23" spans="1:14" x14ac:dyDescent="0.45">
      <c r="A23" t="s">
        <v>14</v>
      </c>
      <c r="B23">
        <v>59</v>
      </c>
      <c r="C23" t="s">
        <v>20</v>
      </c>
      <c r="D23">
        <v>18</v>
      </c>
      <c r="E23">
        <v>82</v>
      </c>
      <c r="F23" t="s">
        <v>22</v>
      </c>
      <c r="G23" t="s">
        <v>22</v>
      </c>
      <c r="H23">
        <v>1</v>
      </c>
      <c r="I23">
        <v>429.3</v>
      </c>
      <c r="J23">
        <v>0.42930000000000001</v>
      </c>
      <c r="K23" t="s">
        <v>41</v>
      </c>
      <c r="L23">
        <v>0</v>
      </c>
      <c r="M23">
        <v>0</v>
      </c>
      <c r="N23">
        <v>0</v>
      </c>
    </row>
    <row r="24" spans="1:14" x14ac:dyDescent="0.45">
      <c r="A24" t="s">
        <v>14</v>
      </c>
      <c r="B24">
        <v>65</v>
      </c>
      <c r="C24" t="s">
        <v>20</v>
      </c>
      <c r="D24">
        <v>15</v>
      </c>
      <c r="E24">
        <v>85</v>
      </c>
      <c r="F24" t="s">
        <v>22</v>
      </c>
      <c r="G24" t="s">
        <v>22</v>
      </c>
      <c r="H24">
        <v>1</v>
      </c>
      <c r="I24">
        <v>561.20000000000005</v>
      </c>
      <c r="J24">
        <v>0.56120000000000003</v>
      </c>
      <c r="K24" t="s">
        <v>42</v>
      </c>
      <c r="L24">
        <v>0</v>
      </c>
      <c r="M24">
        <v>0</v>
      </c>
      <c r="N24">
        <v>0</v>
      </c>
    </row>
    <row r="25" spans="1:14" x14ac:dyDescent="0.45">
      <c r="A25" t="s">
        <v>14</v>
      </c>
      <c r="B25">
        <v>72</v>
      </c>
      <c r="C25" t="s">
        <v>20</v>
      </c>
      <c r="D25">
        <v>79</v>
      </c>
      <c r="E25">
        <v>21</v>
      </c>
      <c r="F25" t="s">
        <v>16</v>
      </c>
      <c r="G25" t="s">
        <v>16</v>
      </c>
      <c r="H25">
        <v>1</v>
      </c>
      <c r="I25">
        <v>397.5</v>
      </c>
      <c r="J25">
        <v>0.39750000000000002</v>
      </c>
      <c r="K25" t="s">
        <v>43</v>
      </c>
      <c r="L25">
        <v>0</v>
      </c>
      <c r="M25">
        <v>0</v>
      </c>
      <c r="N25">
        <v>0</v>
      </c>
    </row>
    <row r="26" spans="1:14" x14ac:dyDescent="0.45">
      <c r="A26" t="s">
        <v>14</v>
      </c>
      <c r="B26">
        <v>74</v>
      </c>
      <c r="C26" t="s">
        <v>20</v>
      </c>
      <c r="D26">
        <v>20</v>
      </c>
      <c r="E26">
        <v>80</v>
      </c>
      <c r="F26" t="s">
        <v>22</v>
      </c>
      <c r="G26" t="s">
        <v>22</v>
      </c>
      <c r="H26">
        <v>1</v>
      </c>
      <c r="I26">
        <v>436.9</v>
      </c>
      <c r="J26">
        <v>0.43690000000000001</v>
      </c>
      <c r="K26" t="s">
        <v>44</v>
      </c>
      <c r="L26">
        <v>0</v>
      </c>
      <c r="M26">
        <v>0</v>
      </c>
      <c r="N26">
        <v>0</v>
      </c>
    </row>
    <row r="27" spans="1:14" x14ac:dyDescent="0.45">
      <c r="A27" t="s">
        <v>14</v>
      </c>
      <c r="B27">
        <v>75</v>
      </c>
      <c r="C27" t="s">
        <v>20</v>
      </c>
      <c r="D27">
        <v>23</v>
      </c>
      <c r="E27">
        <v>77</v>
      </c>
      <c r="F27" t="s">
        <v>22</v>
      </c>
      <c r="G27" t="s">
        <v>22</v>
      </c>
      <c r="H27">
        <v>1</v>
      </c>
      <c r="I27">
        <v>539.20000000000005</v>
      </c>
      <c r="J27">
        <v>0.53920000000000001</v>
      </c>
      <c r="K27" t="s">
        <v>45</v>
      </c>
      <c r="L27">
        <v>0</v>
      </c>
      <c r="M27">
        <v>0</v>
      </c>
      <c r="N27">
        <v>0</v>
      </c>
    </row>
    <row r="28" spans="1:14" x14ac:dyDescent="0.45">
      <c r="A28" t="s">
        <v>14</v>
      </c>
      <c r="B28">
        <v>81</v>
      </c>
      <c r="C28" t="s">
        <v>20</v>
      </c>
      <c r="D28">
        <v>22</v>
      </c>
      <c r="E28">
        <v>78</v>
      </c>
      <c r="F28" t="s">
        <v>22</v>
      </c>
      <c r="G28" t="s">
        <v>22</v>
      </c>
      <c r="H28">
        <v>1</v>
      </c>
      <c r="I28">
        <v>637.79999999999995</v>
      </c>
      <c r="J28">
        <v>0.63780000000000003</v>
      </c>
      <c r="K28" t="s">
        <v>46</v>
      </c>
      <c r="L28">
        <v>0</v>
      </c>
      <c r="M28">
        <v>0</v>
      </c>
      <c r="N28">
        <v>0</v>
      </c>
    </row>
    <row r="29" spans="1:14" x14ac:dyDescent="0.45">
      <c r="A29" t="s">
        <v>14</v>
      </c>
      <c r="B29">
        <v>88</v>
      </c>
      <c r="C29" t="s">
        <v>20</v>
      </c>
      <c r="D29">
        <v>84</v>
      </c>
      <c r="E29">
        <v>16</v>
      </c>
      <c r="F29" t="s">
        <v>16</v>
      </c>
      <c r="G29" t="s">
        <v>16</v>
      </c>
      <c r="H29">
        <v>1</v>
      </c>
      <c r="I29">
        <v>445.9</v>
      </c>
      <c r="J29">
        <v>0.44590000000000002</v>
      </c>
      <c r="K29" t="s">
        <v>47</v>
      </c>
      <c r="L29">
        <v>0</v>
      </c>
      <c r="M29">
        <v>0</v>
      </c>
      <c r="N29">
        <v>0</v>
      </c>
    </row>
    <row r="30" spans="1:14" x14ac:dyDescent="0.45">
      <c r="A30" t="s">
        <v>14</v>
      </c>
      <c r="B30">
        <v>90</v>
      </c>
      <c r="C30" t="s">
        <v>20</v>
      </c>
      <c r="D30">
        <v>22</v>
      </c>
      <c r="E30">
        <v>78</v>
      </c>
      <c r="F30" t="s">
        <v>22</v>
      </c>
      <c r="G30" t="s">
        <v>22</v>
      </c>
      <c r="H30">
        <v>1</v>
      </c>
      <c r="I30">
        <v>466</v>
      </c>
      <c r="J30">
        <v>0.46600000000000003</v>
      </c>
      <c r="K30" t="s">
        <v>48</v>
      </c>
      <c r="L30">
        <v>0</v>
      </c>
      <c r="M30">
        <v>0</v>
      </c>
      <c r="N30">
        <v>0</v>
      </c>
    </row>
    <row r="31" spans="1:14" x14ac:dyDescent="0.45">
      <c r="A31" t="s">
        <v>14</v>
      </c>
      <c r="B31">
        <v>94</v>
      </c>
      <c r="C31" t="s">
        <v>20</v>
      </c>
      <c r="D31">
        <v>84</v>
      </c>
      <c r="E31">
        <v>16</v>
      </c>
      <c r="F31" t="s">
        <v>16</v>
      </c>
      <c r="G31" t="s">
        <v>16</v>
      </c>
      <c r="H31">
        <v>1</v>
      </c>
      <c r="I31">
        <v>560.29999999999995</v>
      </c>
      <c r="J31">
        <v>0.56030000000000002</v>
      </c>
      <c r="K31" t="s">
        <v>49</v>
      </c>
      <c r="L31">
        <v>0</v>
      </c>
      <c r="M31">
        <v>0</v>
      </c>
      <c r="N31">
        <v>0</v>
      </c>
    </row>
    <row r="32" spans="1:14" x14ac:dyDescent="0.45">
      <c r="A32" t="s">
        <v>14</v>
      </c>
      <c r="B32">
        <v>95</v>
      </c>
      <c r="C32" t="s">
        <v>20</v>
      </c>
      <c r="D32">
        <v>84</v>
      </c>
      <c r="E32">
        <v>16</v>
      </c>
      <c r="F32" t="s">
        <v>16</v>
      </c>
      <c r="G32" t="s">
        <v>16</v>
      </c>
      <c r="H32">
        <v>1</v>
      </c>
      <c r="I32">
        <v>493.9</v>
      </c>
      <c r="J32">
        <v>0.49390000000000001</v>
      </c>
      <c r="K32" t="s">
        <v>50</v>
      </c>
      <c r="L32">
        <v>0</v>
      </c>
      <c r="M32">
        <v>0</v>
      </c>
      <c r="N32">
        <v>0</v>
      </c>
    </row>
    <row r="33" spans="1:14" x14ac:dyDescent="0.45">
      <c r="A33" t="s">
        <v>14</v>
      </c>
      <c r="B33">
        <v>98</v>
      </c>
      <c r="C33" t="s">
        <v>20</v>
      </c>
      <c r="D33">
        <v>75</v>
      </c>
      <c r="E33">
        <v>25</v>
      </c>
      <c r="F33" t="s">
        <v>16</v>
      </c>
      <c r="G33" t="s">
        <v>16</v>
      </c>
      <c r="H33">
        <v>1</v>
      </c>
      <c r="I33">
        <v>488</v>
      </c>
      <c r="J33">
        <v>0.48799999999999999</v>
      </c>
      <c r="K33" t="s">
        <v>51</v>
      </c>
      <c r="L33">
        <v>0</v>
      </c>
      <c r="M33">
        <v>0</v>
      </c>
      <c r="N33">
        <v>0</v>
      </c>
    </row>
    <row r="34" spans="1:14" x14ac:dyDescent="0.45">
      <c r="A34" t="s">
        <v>14</v>
      </c>
      <c r="B34">
        <v>100</v>
      </c>
      <c r="C34" t="s">
        <v>20</v>
      </c>
      <c r="D34">
        <v>85</v>
      </c>
      <c r="E34">
        <v>15</v>
      </c>
      <c r="F34" t="s">
        <v>16</v>
      </c>
      <c r="G34" t="s">
        <v>16</v>
      </c>
      <c r="H34">
        <v>1</v>
      </c>
      <c r="I34">
        <v>431</v>
      </c>
      <c r="J34">
        <v>0.43099999999999999</v>
      </c>
      <c r="K34" t="s">
        <v>52</v>
      </c>
      <c r="L34">
        <v>0</v>
      </c>
      <c r="M34">
        <v>0</v>
      </c>
      <c r="N34">
        <v>0</v>
      </c>
    </row>
    <row r="35" spans="1:14" x14ac:dyDescent="0.45">
      <c r="A35" t="s">
        <v>14</v>
      </c>
      <c r="B35">
        <v>2</v>
      </c>
      <c r="C35" t="s">
        <v>18</v>
      </c>
      <c r="D35">
        <v>60</v>
      </c>
      <c r="E35">
        <v>40</v>
      </c>
      <c r="F35" t="s">
        <v>16</v>
      </c>
      <c r="G35" t="s">
        <v>16</v>
      </c>
      <c r="H35">
        <v>1</v>
      </c>
      <c r="I35">
        <v>633</v>
      </c>
      <c r="J35">
        <v>0.63300000000000001</v>
      </c>
      <c r="K35" t="s">
        <v>53</v>
      </c>
      <c r="L35">
        <v>0</v>
      </c>
      <c r="M35">
        <v>0</v>
      </c>
      <c r="N35">
        <v>0</v>
      </c>
    </row>
    <row r="36" spans="1:14" x14ac:dyDescent="0.45">
      <c r="A36" t="s">
        <v>14</v>
      </c>
      <c r="B36">
        <v>5</v>
      </c>
      <c r="C36" t="s">
        <v>18</v>
      </c>
      <c r="D36">
        <v>59</v>
      </c>
      <c r="E36">
        <v>41</v>
      </c>
      <c r="F36" t="s">
        <v>16</v>
      </c>
      <c r="G36" t="s">
        <v>16</v>
      </c>
      <c r="H36">
        <v>1</v>
      </c>
      <c r="I36">
        <v>466.8</v>
      </c>
      <c r="J36">
        <v>0.46679999999999999</v>
      </c>
      <c r="K36" t="s">
        <v>54</v>
      </c>
      <c r="L36">
        <v>0</v>
      </c>
      <c r="M36">
        <v>0</v>
      </c>
      <c r="N36">
        <v>0</v>
      </c>
    </row>
    <row r="37" spans="1:14" x14ac:dyDescent="0.45">
      <c r="A37" t="s">
        <v>14</v>
      </c>
      <c r="B37">
        <v>8</v>
      </c>
      <c r="C37" t="s">
        <v>18</v>
      </c>
      <c r="D37">
        <v>64</v>
      </c>
      <c r="E37">
        <v>36</v>
      </c>
      <c r="F37" t="s">
        <v>16</v>
      </c>
      <c r="G37" t="s">
        <v>16</v>
      </c>
      <c r="H37">
        <v>1</v>
      </c>
      <c r="I37">
        <v>447.3</v>
      </c>
      <c r="J37">
        <v>0.44729999999999998</v>
      </c>
      <c r="K37" t="s">
        <v>55</v>
      </c>
      <c r="L37">
        <v>0</v>
      </c>
      <c r="M37">
        <v>0</v>
      </c>
      <c r="N37">
        <v>0</v>
      </c>
    </row>
    <row r="38" spans="1:14" x14ac:dyDescent="0.45">
      <c r="A38" t="s">
        <v>14</v>
      </c>
      <c r="B38">
        <v>9</v>
      </c>
      <c r="C38" t="s">
        <v>18</v>
      </c>
      <c r="D38">
        <v>58</v>
      </c>
      <c r="E38">
        <v>42</v>
      </c>
      <c r="F38" t="s">
        <v>16</v>
      </c>
      <c r="G38" t="s">
        <v>16</v>
      </c>
      <c r="H38">
        <v>1</v>
      </c>
      <c r="I38">
        <v>440.5</v>
      </c>
      <c r="J38">
        <v>0.4405</v>
      </c>
      <c r="K38" t="s">
        <v>56</v>
      </c>
      <c r="L38">
        <v>0</v>
      </c>
      <c r="M38">
        <v>0</v>
      </c>
      <c r="N38">
        <v>0</v>
      </c>
    </row>
    <row r="39" spans="1:14" x14ac:dyDescent="0.45">
      <c r="A39" t="s">
        <v>14</v>
      </c>
      <c r="B39">
        <v>10</v>
      </c>
      <c r="C39" t="s">
        <v>18</v>
      </c>
      <c r="D39">
        <v>62</v>
      </c>
      <c r="E39">
        <v>38</v>
      </c>
      <c r="F39" t="s">
        <v>16</v>
      </c>
      <c r="G39" t="s">
        <v>16</v>
      </c>
      <c r="H39">
        <v>1</v>
      </c>
      <c r="I39">
        <v>438.6</v>
      </c>
      <c r="J39">
        <v>0.43859999999999999</v>
      </c>
      <c r="K39" t="s">
        <v>57</v>
      </c>
      <c r="L39">
        <v>0</v>
      </c>
      <c r="M39">
        <v>0</v>
      </c>
      <c r="N39">
        <v>0</v>
      </c>
    </row>
    <row r="40" spans="1:14" x14ac:dyDescent="0.45">
      <c r="A40" t="s">
        <v>14</v>
      </c>
      <c r="B40">
        <v>14</v>
      </c>
      <c r="C40" t="s">
        <v>18</v>
      </c>
      <c r="D40">
        <v>64</v>
      </c>
      <c r="E40">
        <v>36</v>
      </c>
      <c r="F40" t="s">
        <v>16</v>
      </c>
      <c r="G40" t="s">
        <v>16</v>
      </c>
      <c r="H40">
        <v>1</v>
      </c>
      <c r="I40">
        <v>410.5</v>
      </c>
      <c r="J40">
        <v>0.41049999999999998</v>
      </c>
      <c r="K40" t="s">
        <v>58</v>
      </c>
      <c r="L40">
        <v>0</v>
      </c>
      <c r="M40">
        <v>0</v>
      </c>
      <c r="N40">
        <v>0</v>
      </c>
    </row>
    <row r="41" spans="1:14" x14ac:dyDescent="0.45">
      <c r="A41" t="s">
        <v>14</v>
      </c>
      <c r="B41">
        <v>17</v>
      </c>
      <c r="C41" t="s">
        <v>18</v>
      </c>
      <c r="D41">
        <v>44</v>
      </c>
      <c r="E41">
        <v>56</v>
      </c>
      <c r="F41" t="s">
        <v>22</v>
      </c>
      <c r="G41" t="s">
        <v>16</v>
      </c>
      <c r="H41">
        <v>0</v>
      </c>
      <c r="I41">
        <v>538.6</v>
      </c>
      <c r="J41">
        <v>0.53859999999999997</v>
      </c>
      <c r="K41" t="s">
        <v>59</v>
      </c>
      <c r="L41">
        <v>0</v>
      </c>
      <c r="M41">
        <v>0</v>
      </c>
      <c r="N41">
        <v>0</v>
      </c>
    </row>
    <row r="42" spans="1:14" x14ac:dyDescent="0.45">
      <c r="A42" t="s">
        <v>14</v>
      </c>
      <c r="B42">
        <v>19</v>
      </c>
      <c r="C42" t="s">
        <v>18</v>
      </c>
      <c r="D42">
        <v>63</v>
      </c>
      <c r="E42">
        <v>37</v>
      </c>
      <c r="F42" t="s">
        <v>16</v>
      </c>
      <c r="G42" t="s">
        <v>16</v>
      </c>
      <c r="H42">
        <v>1</v>
      </c>
      <c r="I42">
        <v>387.8</v>
      </c>
      <c r="J42">
        <v>0.38779999999999998</v>
      </c>
      <c r="K42" t="s">
        <v>60</v>
      </c>
      <c r="L42">
        <v>0</v>
      </c>
      <c r="M42">
        <v>0</v>
      </c>
      <c r="N42">
        <v>0</v>
      </c>
    </row>
    <row r="43" spans="1:14" x14ac:dyDescent="0.45">
      <c r="A43" t="s">
        <v>14</v>
      </c>
      <c r="B43">
        <v>20</v>
      </c>
      <c r="C43" t="s">
        <v>18</v>
      </c>
      <c r="D43">
        <v>40</v>
      </c>
      <c r="E43">
        <v>60</v>
      </c>
      <c r="F43" t="s">
        <v>22</v>
      </c>
      <c r="G43" t="s">
        <v>22</v>
      </c>
      <c r="H43">
        <v>1</v>
      </c>
      <c r="I43">
        <v>396.2</v>
      </c>
      <c r="J43">
        <v>0.3962</v>
      </c>
      <c r="K43" t="s">
        <v>61</v>
      </c>
      <c r="L43">
        <v>0</v>
      </c>
      <c r="M43">
        <v>0</v>
      </c>
      <c r="N43">
        <v>0</v>
      </c>
    </row>
    <row r="44" spans="1:14" x14ac:dyDescent="0.45">
      <c r="A44" t="s">
        <v>14</v>
      </c>
      <c r="B44">
        <v>24</v>
      </c>
      <c r="C44" t="s">
        <v>18</v>
      </c>
      <c r="D44">
        <v>44</v>
      </c>
      <c r="E44">
        <v>56</v>
      </c>
      <c r="F44" t="s">
        <v>22</v>
      </c>
      <c r="G44" t="s">
        <v>16</v>
      </c>
      <c r="H44">
        <v>0</v>
      </c>
      <c r="I44">
        <v>571.1</v>
      </c>
      <c r="J44">
        <v>0.57110000000000005</v>
      </c>
      <c r="K44" t="s">
        <v>62</v>
      </c>
      <c r="L44">
        <v>0</v>
      </c>
      <c r="M44">
        <v>0</v>
      </c>
      <c r="N44">
        <v>0</v>
      </c>
    </row>
    <row r="45" spans="1:14" x14ac:dyDescent="0.45">
      <c r="A45" t="s">
        <v>14</v>
      </c>
      <c r="B45">
        <v>25</v>
      </c>
      <c r="C45" t="s">
        <v>18</v>
      </c>
      <c r="D45">
        <v>61</v>
      </c>
      <c r="E45">
        <v>39</v>
      </c>
      <c r="F45" t="s">
        <v>16</v>
      </c>
      <c r="G45" t="s">
        <v>16</v>
      </c>
      <c r="H45">
        <v>1</v>
      </c>
      <c r="I45">
        <v>415.8</v>
      </c>
      <c r="J45">
        <v>0.4158</v>
      </c>
      <c r="K45" t="s">
        <v>63</v>
      </c>
      <c r="L45">
        <v>0</v>
      </c>
      <c r="M45">
        <v>0</v>
      </c>
      <c r="N45">
        <v>0</v>
      </c>
    </row>
    <row r="46" spans="1:14" x14ac:dyDescent="0.45">
      <c r="A46" t="s">
        <v>14</v>
      </c>
      <c r="B46">
        <v>30</v>
      </c>
      <c r="C46" t="s">
        <v>18</v>
      </c>
      <c r="D46">
        <v>39</v>
      </c>
      <c r="E46">
        <v>61</v>
      </c>
      <c r="F46" t="s">
        <v>22</v>
      </c>
      <c r="G46" t="s">
        <v>22</v>
      </c>
      <c r="H46">
        <v>1</v>
      </c>
      <c r="I46">
        <v>407.1</v>
      </c>
      <c r="J46">
        <v>0.40710000000000002</v>
      </c>
      <c r="K46" t="s">
        <v>64</v>
      </c>
      <c r="L46">
        <v>0</v>
      </c>
      <c r="M46">
        <v>0</v>
      </c>
      <c r="N46">
        <v>0</v>
      </c>
    </row>
    <row r="47" spans="1:14" x14ac:dyDescent="0.45">
      <c r="A47" t="s">
        <v>14</v>
      </c>
      <c r="B47">
        <v>32</v>
      </c>
      <c r="C47" t="s">
        <v>18</v>
      </c>
      <c r="D47">
        <v>64</v>
      </c>
      <c r="E47">
        <v>36</v>
      </c>
      <c r="F47" t="s">
        <v>16</v>
      </c>
      <c r="G47" t="s">
        <v>16</v>
      </c>
      <c r="H47">
        <v>1</v>
      </c>
      <c r="I47">
        <v>579.79999999999995</v>
      </c>
      <c r="J47">
        <v>0.57979999999999998</v>
      </c>
      <c r="K47" t="s">
        <v>65</v>
      </c>
      <c r="L47">
        <v>0</v>
      </c>
      <c r="M47">
        <v>0</v>
      </c>
      <c r="N47">
        <v>0</v>
      </c>
    </row>
    <row r="48" spans="1:14" x14ac:dyDescent="0.45">
      <c r="A48" t="s">
        <v>14</v>
      </c>
      <c r="B48">
        <v>34</v>
      </c>
      <c r="C48" t="s">
        <v>18</v>
      </c>
      <c r="D48">
        <v>64</v>
      </c>
      <c r="E48">
        <v>36</v>
      </c>
      <c r="F48" t="s">
        <v>16</v>
      </c>
      <c r="G48" t="s">
        <v>16</v>
      </c>
      <c r="H48">
        <v>1</v>
      </c>
      <c r="I48">
        <v>440.7</v>
      </c>
      <c r="J48">
        <v>0.44069999999999998</v>
      </c>
      <c r="K48" t="s">
        <v>66</v>
      </c>
      <c r="L48">
        <v>0</v>
      </c>
      <c r="M48">
        <v>0</v>
      </c>
      <c r="N48">
        <v>0</v>
      </c>
    </row>
    <row r="49" spans="1:14" x14ac:dyDescent="0.45">
      <c r="A49" t="s">
        <v>14</v>
      </c>
      <c r="B49">
        <v>36</v>
      </c>
      <c r="C49" t="s">
        <v>18</v>
      </c>
      <c r="D49">
        <v>36</v>
      </c>
      <c r="E49">
        <v>64</v>
      </c>
      <c r="F49" t="s">
        <v>22</v>
      </c>
      <c r="G49" t="s">
        <v>22</v>
      </c>
      <c r="H49">
        <v>1</v>
      </c>
      <c r="I49">
        <v>467.5</v>
      </c>
      <c r="J49">
        <v>0.46750000000000003</v>
      </c>
      <c r="K49" t="s">
        <v>67</v>
      </c>
      <c r="L49">
        <v>0</v>
      </c>
      <c r="M49">
        <v>0</v>
      </c>
      <c r="N49">
        <v>0</v>
      </c>
    </row>
    <row r="50" spans="1:14" x14ac:dyDescent="0.45">
      <c r="A50" t="s">
        <v>14</v>
      </c>
      <c r="B50">
        <v>37</v>
      </c>
      <c r="C50" t="s">
        <v>18</v>
      </c>
      <c r="D50">
        <v>62</v>
      </c>
      <c r="E50">
        <v>38</v>
      </c>
      <c r="F50" t="s">
        <v>16</v>
      </c>
      <c r="G50" t="s">
        <v>16</v>
      </c>
      <c r="H50">
        <v>1</v>
      </c>
      <c r="I50">
        <v>545.4</v>
      </c>
      <c r="J50">
        <v>0.5454</v>
      </c>
      <c r="K50" t="s">
        <v>68</v>
      </c>
      <c r="L50">
        <v>0</v>
      </c>
      <c r="M50">
        <v>0</v>
      </c>
      <c r="N50">
        <v>0</v>
      </c>
    </row>
    <row r="51" spans="1:14" x14ac:dyDescent="0.45">
      <c r="A51" t="s">
        <v>14</v>
      </c>
      <c r="B51">
        <v>42</v>
      </c>
      <c r="C51" t="s">
        <v>18</v>
      </c>
      <c r="D51">
        <v>59</v>
      </c>
      <c r="E51">
        <v>41</v>
      </c>
      <c r="F51" t="s">
        <v>16</v>
      </c>
      <c r="G51" t="s">
        <v>16</v>
      </c>
      <c r="H51">
        <v>1</v>
      </c>
      <c r="I51">
        <v>581.9</v>
      </c>
      <c r="J51">
        <v>0.58189999999999997</v>
      </c>
      <c r="K51" t="s">
        <v>69</v>
      </c>
      <c r="L51">
        <v>0</v>
      </c>
      <c r="M51">
        <v>0</v>
      </c>
      <c r="N51">
        <v>0</v>
      </c>
    </row>
    <row r="52" spans="1:14" x14ac:dyDescent="0.45">
      <c r="A52" t="s">
        <v>14</v>
      </c>
      <c r="B52">
        <v>43</v>
      </c>
      <c r="C52" t="s">
        <v>18</v>
      </c>
      <c r="D52">
        <v>63</v>
      </c>
      <c r="E52">
        <v>37</v>
      </c>
      <c r="F52" t="s">
        <v>16</v>
      </c>
      <c r="G52" t="s">
        <v>16</v>
      </c>
      <c r="H52">
        <v>1</v>
      </c>
      <c r="I52">
        <v>682.1</v>
      </c>
      <c r="J52">
        <v>0.68210000000000004</v>
      </c>
      <c r="K52" t="s">
        <v>70</v>
      </c>
      <c r="L52">
        <v>0</v>
      </c>
      <c r="M52">
        <v>0</v>
      </c>
      <c r="N52">
        <v>0</v>
      </c>
    </row>
    <row r="53" spans="1:14" x14ac:dyDescent="0.45">
      <c r="A53" t="s">
        <v>14</v>
      </c>
      <c r="B53">
        <v>44</v>
      </c>
      <c r="C53" t="s">
        <v>18</v>
      </c>
      <c r="D53">
        <v>42</v>
      </c>
      <c r="E53">
        <v>58</v>
      </c>
      <c r="F53" t="s">
        <v>22</v>
      </c>
      <c r="G53" t="s">
        <v>22</v>
      </c>
      <c r="H53">
        <v>1</v>
      </c>
      <c r="I53">
        <v>681.6</v>
      </c>
      <c r="J53">
        <v>0.68159999999999998</v>
      </c>
      <c r="K53" t="s">
        <v>71</v>
      </c>
      <c r="L53">
        <v>0</v>
      </c>
      <c r="M53">
        <v>0</v>
      </c>
      <c r="N53">
        <v>0</v>
      </c>
    </row>
    <row r="54" spans="1:14" x14ac:dyDescent="0.45">
      <c r="A54" t="s">
        <v>14</v>
      </c>
      <c r="B54">
        <v>45</v>
      </c>
      <c r="C54" t="s">
        <v>18</v>
      </c>
      <c r="D54">
        <v>58</v>
      </c>
      <c r="E54">
        <v>42</v>
      </c>
      <c r="F54" t="s">
        <v>16</v>
      </c>
      <c r="G54" t="s">
        <v>16</v>
      </c>
      <c r="H54">
        <v>1</v>
      </c>
      <c r="I54">
        <v>440.7</v>
      </c>
      <c r="J54">
        <v>0.44069999999999998</v>
      </c>
      <c r="K54" t="s">
        <v>72</v>
      </c>
      <c r="L54">
        <v>0</v>
      </c>
      <c r="M54">
        <v>0</v>
      </c>
      <c r="N54">
        <v>0</v>
      </c>
    </row>
    <row r="55" spans="1:14" x14ac:dyDescent="0.45">
      <c r="A55" t="s">
        <v>14</v>
      </c>
      <c r="B55">
        <v>51</v>
      </c>
      <c r="C55" t="s">
        <v>18</v>
      </c>
      <c r="D55">
        <v>40</v>
      </c>
      <c r="E55">
        <v>60</v>
      </c>
      <c r="F55" t="s">
        <v>22</v>
      </c>
      <c r="G55" t="s">
        <v>22</v>
      </c>
      <c r="H55">
        <v>1</v>
      </c>
      <c r="I55">
        <v>443.7</v>
      </c>
      <c r="J55">
        <v>0.44369999999999998</v>
      </c>
      <c r="K55" t="s">
        <v>73</v>
      </c>
      <c r="L55">
        <v>0</v>
      </c>
      <c r="M55">
        <v>0</v>
      </c>
      <c r="N55">
        <v>0</v>
      </c>
    </row>
    <row r="56" spans="1:14" x14ac:dyDescent="0.45">
      <c r="A56" t="s">
        <v>14</v>
      </c>
      <c r="B56">
        <v>53</v>
      </c>
      <c r="C56" t="s">
        <v>18</v>
      </c>
      <c r="D56">
        <v>58</v>
      </c>
      <c r="E56">
        <v>42</v>
      </c>
      <c r="F56" t="s">
        <v>16</v>
      </c>
      <c r="G56" t="s">
        <v>22</v>
      </c>
      <c r="H56">
        <v>0</v>
      </c>
      <c r="I56">
        <v>772.3</v>
      </c>
      <c r="J56">
        <v>0.77229999999999999</v>
      </c>
      <c r="K56" t="s">
        <v>74</v>
      </c>
      <c r="L56">
        <v>0</v>
      </c>
      <c r="M56">
        <v>0</v>
      </c>
      <c r="N56">
        <v>0</v>
      </c>
    </row>
    <row r="57" spans="1:14" x14ac:dyDescent="0.45">
      <c r="A57" t="s">
        <v>14</v>
      </c>
      <c r="B57">
        <v>57</v>
      </c>
      <c r="C57" t="s">
        <v>18</v>
      </c>
      <c r="D57">
        <v>63</v>
      </c>
      <c r="E57">
        <v>37</v>
      </c>
      <c r="F57" t="s">
        <v>16</v>
      </c>
      <c r="G57" t="s">
        <v>16</v>
      </c>
      <c r="H57">
        <v>1</v>
      </c>
      <c r="I57">
        <v>570</v>
      </c>
      <c r="J57">
        <v>0.56999999999999995</v>
      </c>
      <c r="K57" t="s">
        <v>75</v>
      </c>
      <c r="L57">
        <v>0</v>
      </c>
      <c r="M57">
        <v>0</v>
      </c>
      <c r="N57">
        <v>0</v>
      </c>
    </row>
    <row r="58" spans="1:14" x14ac:dyDescent="0.45">
      <c r="A58" t="s">
        <v>14</v>
      </c>
      <c r="B58">
        <v>61</v>
      </c>
      <c r="C58" t="s">
        <v>18</v>
      </c>
      <c r="D58">
        <v>37</v>
      </c>
      <c r="E58">
        <v>63</v>
      </c>
      <c r="F58" t="s">
        <v>22</v>
      </c>
      <c r="G58" t="s">
        <v>22</v>
      </c>
      <c r="H58">
        <v>1</v>
      </c>
      <c r="I58">
        <v>365</v>
      </c>
      <c r="J58">
        <v>0.36499999999999999</v>
      </c>
      <c r="K58" t="s">
        <v>76</v>
      </c>
      <c r="L58">
        <v>0</v>
      </c>
      <c r="M58">
        <v>0</v>
      </c>
      <c r="N58">
        <v>0</v>
      </c>
    </row>
    <row r="59" spans="1:14" x14ac:dyDescent="0.45">
      <c r="A59" t="s">
        <v>14</v>
      </c>
      <c r="B59">
        <v>62</v>
      </c>
      <c r="C59" t="s">
        <v>18</v>
      </c>
      <c r="D59">
        <v>43</v>
      </c>
      <c r="E59">
        <v>57</v>
      </c>
      <c r="F59" t="s">
        <v>22</v>
      </c>
      <c r="G59" t="s">
        <v>16</v>
      </c>
      <c r="H59">
        <v>0</v>
      </c>
      <c r="I59">
        <v>376.3</v>
      </c>
      <c r="J59">
        <v>0.37630000000000002</v>
      </c>
      <c r="K59" t="s">
        <v>77</v>
      </c>
      <c r="L59">
        <v>0</v>
      </c>
      <c r="M59">
        <v>0</v>
      </c>
      <c r="N59">
        <v>0</v>
      </c>
    </row>
    <row r="60" spans="1:14" x14ac:dyDescent="0.45">
      <c r="A60" t="s">
        <v>14</v>
      </c>
      <c r="B60">
        <v>64</v>
      </c>
      <c r="C60" t="s">
        <v>18</v>
      </c>
      <c r="D60">
        <v>41</v>
      </c>
      <c r="E60">
        <v>59</v>
      </c>
      <c r="F60" t="s">
        <v>22</v>
      </c>
      <c r="G60" t="s">
        <v>22</v>
      </c>
      <c r="H60">
        <v>1</v>
      </c>
      <c r="I60">
        <v>483.1</v>
      </c>
      <c r="J60">
        <v>0.48309999999999997</v>
      </c>
      <c r="K60" t="s">
        <v>78</v>
      </c>
      <c r="L60">
        <v>0</v>
      </c>
      <c r="M60">
        <v>0</v>
      </c>
      <c r="N60">
        <v>0</v>
      </c>
    </row>
    <row r="61" spans="1:14" x14ac:dyDescent="0.45">
      <c r="A61" t="s">
        <v>14</v>
      </c>
      <c r="B61">
        <v>68</v>
      </c>
      <c r="C61" t="s">
        <v>18</v>
      </c>
      <c r="D61">
        <v>60</v>
      </c>
      <c r="E61">
        <v>40</v>
      </c>
      <c r="F61" t="s">
        <v>16</v>
      </c>
      <c r="G61" t="s">
        <v>16</v>
      </c>
      <c r="H61">
        <v>1</v>
      </c>
      <c r="I61">
        <v>488.4</v>
      </c>
      <c r="J61">
        <v>0.4884</v>
      </c>
      <c r="K61" t="s">
        <v>79</v>
      </c>
      <c r="L61">
        <v>0</v>
      </c>
      <c r="M61">
        <v>0</v>
      </c>
      <c r="N61">
        <v>0</v>
      </c>
    </row>
    <row r="62" spans="1:14" x14ac:dyDescent="0.45">
      <c r="A62" t="s">
        <v>14</v>
      </c>
      <c r="B62">
        <v>77</v>
      </c>
      <c r="C62" t="s">
        <v>18</v>
      </c>
      <c r="D62">
        <v>44</v>
      </c>
      <c r="E62">
        <v>56</v>
      </c>
      <c r="F62" t="s">
        <v>22</v>
      </c>
      <c r="G62" t="s">
        <v>16</v>
      </c>
      <c r="H62">
        <v>0</v>
      </c>
      <c r="I62">
        <v>614.20000000000005</v>
      </c>
      <c r="J62">
        <v>0.61419999999999997</v>
      </c>
      <c r="K62" t="s">
        <v>80</v>
      </c>
      <c r="L62">
        <v>0</v>
      </c>
      <c r="M62">
        <v>0</v>
      </c>
      <c r="N62">
        <v>0</v>
      </c>
    </row>
    <row r="63" spans="1:14" x14ac:dyDescent="0.45">
      <c r="A63" t="s">
        <v>14</v>
      </c>
      <c r="B63">
        <v>80</v>
      </c>
      <c r="C63" t="s">
        <v>18</v>
      </c>
      <c r="D63">
        <v>60</v>
      </c>
      <c r="E63">
        <v>40</v>
      </c>
      <c r="F63" t="s">
        <v>16</v>
      </c>
      <c r="G63" t="s">
        <v>16</v>
      </c>
      <c r="H63">
        <v>1</v>
      </c>
      <c r="I63">
        <v>669.2</v>
      </c>
      <c r="J63">
        <v>0.66920000000000002</v>
      </c>
      <c r="K63" t="s">
        <v>81</v>
      </c>
      <c r="L63">
        <v>0</v>
      </c>
      <c r="M63">
        <v>0</v>
      </c>
      <c r="N63">
        <v>0</v>
      </c>
    </row>
    <row r="64" spans="1:14" x14ac:dyDescent="0.45">
      <c r="A64" t="s">
        <v>14</v>
      </c>
      <c r="B64">
        <v>82</v>
      </c>
      <c r="C64" t="s">
        <v>18</v>
      </c>
      <c r="D64">
        <v>64</v>
      </c>
      <c r="E64">
        <v>36</v>
      </c>
      <c r="F64" t="s">
        <v>16</v>
      </c>
      <c r="G64" t="s">
        <v>16</v>
      </c>
      <c r="H64">
        <v>1</v>
      </c>
      <c r="I64">
        <v>479.7</v>
      </c>
      <c r="J64">
        <v>0.47970000000000002</v>
      </c>
      <c r="K64" t="s">
        <v>82</v>
      </c>
      <c r="L64">
        <v>0</v>
      </c>
      <c r="M64">
        <v>0</v>
      </c>
      <c r="N64">
        <v>0</v>
      </c>
    </row>
    <row r="65" spans="1:14" x14ac:dyDescent="0.45">
      <c r="A65" t="s">
        <v>14</v>
      </c>
      <c r="B65">
        <v>83</v>
      </c>
      <c r="C65" t="s">
        <v>18</v>
      </c>
      <c r="D65">
        <v>41</v>
      </c>
      <c r="E65">
        <v>59</v>
      </c>
      <c r="F65" t="s">
        <v>22</v>
      </c>
      <c r="G65" t="s">
        <v>22</v>
      </c>
      <c r="H65">
        <v>1</v>
      </c>
      <c r="I65">
        <v>522.5</v>
      </c>
      <c r="J65">
        <v>0.52249999999999996</v>
      </c>
      <c r="K65" t="s">
        <v>83</v>
      </c>
      <c r="L65">
        <v>0</v>
      </c>
      <c r="M65">
        <v>0</v>
      </c>
      <c r="N65">
        <v>0</v>
      </c>
    </row>
    <row r="66" spans="1:14" x14ac:dyDescent="0.45">
      <c r="A66" t="s">
        <v>14</v>
      </c>
      <c r="B66">
        <v>89</v>
      </c>
      <c r="C66" t="s">
        <v>18</v>
      </c>
      <c r="D66">
        <v>61</v>
      </c>
      <c r="E66">
        <v>39</v>
      </c>
      <c r="F66" t="s">
        <v>16</v>
      </c>
      <c r="G66" t="s">
        <v>16</v>
      </c>
      <c r="H66">
        <v>1</v>
      </c>
      <c r="I66">
        <v>570.20000000000005</v>
      </c>
      <c r="J66">
        <v>0.57020000000000004</v>
      </c>
      <c r="K66" t="s">
        <v>84</v>
      </c>
      <c r="L66">
        <v>0</v>
      </c>
      <c r="M66">
        <v>0</v>
      </c>
      <c r="N66">
        <v>0</v>
      </c>
    </row>
    <row r="67" spans="1:14" x14ac:dyDescent="0.45">
      <c r="A67" t="s">
        <v>14</v>
      </c>
      <c r="B67">
        <v>93</v>
      </c>
      <c r="C67" t="s">
        <v>18</v>
      </c>
      <c r="D67">
        <v>59</v>
      </c>
      <c r="E67">
        <v>41</v>
      </c>
      <c r="F67" t="s">
        <v>16</v>
      </c>
      <c r="G67" t="s">
        <v>16</v>
      </c>
      <c r="H67">
        <v>1</v>
      </c>
      <c r="I67">
        <v>686.8</v>
      </c>
      <c r="J67">
        <v>0.68679999999999997</v>
      </c>
      <c r="K67" t="s">
        <v>85</v>
      </c>
      <c r="L67">
        <v>0</v>
      </c>
      <c r="M67">
        <v>0</v>
      </c>
      <c r="N67">
        <v>0</v>
      </c>
    </row>
    <row r="68" spans="1:14" x14ac:dyDescent="0.45">
      <c r="A68" t="s">
        <v>14</v>
      </c>
      <c r="B68">
        <v>96</v>
      </c>
      <c r="C68" t="s">
        <v>18</v>
      </c>
      <c r="D68">
        <v>58</v>
      </c>
      <c r="E68">
        <v>42</v>
      </c>
      <c r="F68" t="s">
        <v>16</v>
      </c>
      <c r="G68" t="s">
        <v>16</v>
      </c>
      <c r="H68">
        <v>1</v>
      </c>
      <c r="I68">
        <v>697.5</v>
      </c>
      <c r="J68">
        <v>0.69750000000000001</v>
      </c>
      <c r="K68" t="s">
        <v>86</v>
      </c>
      <c r="L68">
        <v>0</v>
      </c>
      <c r="M68">
        <v>0</v>
      </c>
      <c r="N68">
        <v>0</v>
      </c>
    </row>
    <row r="69" spans="1:14" x14ac:dyDescent="0.45">
      <c r="A69" t="s">
        <v>14</v>
      </c>
      <c r="B69">
        <v>1</v>
      </c>
      <c r="C69" t="s">
        <v>15</v>
      </c>
      <c r="D69">
        <v>51</v>
      </c>
      <c r="E69">
        <v>49</v>
      </c>
      <c r="F69" t="s">
        <v>16</v>
      </c>
      <c r="G69" t="s">
        <v>16</v>
      </c>
      <c r="H69">
        <v>1</v>
      </c>
      <c r="I69">
        <v>988</v>
      </c>
      <c r="J69">
        <v>0.98799999999999999</v>
      </c>
      <c r="K69" t="s">
        <v>87</v>
      </c>
      <c r="L69">
        <v>0</v>
      </c>
      <c r="M69">
        <v>0</v>
      </c>
      <c r="N69">
        <v>0</v>
      </c>
    </row>
    <row r="70" spans="1:14" x14ac:dyDescent="0.45">
      <c r="A70" t="s">
        <v>14</v>
      </c>
      <c r="B70">
        <v>4</v>
      </c>
      <c r="C70" t="s">
        <v>15</v>
      </c>
      <c r="D70">
        <v>49</v>
      </c>
      <c r="E70">
        <v>51</v>
      </c>
      <c r="F70" t="s">
        <v>22</v>
      </c>
      <c r="G70" t="s">
        <v>22</v>
      </c>
      <c r="H70">
        <v>1</v>
      </c>
      <c r="I70">
        <v>547.20000000000005</v>
      </c>
      <c r="J70">
        <v>0.54720000000000002</v>
      </c>
      <c r="K70" t="s">
        <v>88</v>
      </c>
      <c r="L70">
        <v>0</v>
      </c>
      <c r="M70">
        <v>0</v>
      </c>
      <c r="N70">
        <v>0</v>
      </c>
    </row>
    <row r="71" spans="1:14" x14ac:dyDescent="0.45">
      <c r="A71" t="s">
        <v>14</v>
      </c>
      <c r="B71">
        <v>11</v>
      </c>
      <c r="C71" t="s">
        <v>15</v>
      </c>
      <c r="D71">
        <v>48</v>
      </c>
      <c r="E71">
        <v>52</v>
      </c>
      <c r="F71" t="s">
        <v>22</v>
      </c>
      <c r="G71" t="s">
        <v>16</v>
      </c>
      <c r="H71">
        <v>0</v>
      </c>
      <c r="I71">
        <v>603.9</v>
      </c>
      <c r="J71">
        <v>0.60389999999999999</v>
      </c>
      <c r="K71" t="s">
        <v>89</v>
      </c>
      <c r="L71">
        <v>0</v>
      </c>
      <c r="M71">
        <v>0</v>
      </c>
      <c r="N71">
        <v>0</v>
      </c>
    </row>
    <row r="72" spans="1:14" x14ac:dyDescent="0.45">
      <c r="A72" t="s">
        <v>14</v>
      </c>
      <c r="B72">
        <v>15</v>
      </c>
      <c r="C72" t="s">
        <v>15</v>
      </c>
      <c r="D72">
        <v>55</v>
      </c>
      <c r="E72">
        <v>45</v>
      </c>
      <c r="F72" t="s">
        <v>16</v>
      </c>
      <c r="G72" t="s">
        <v>16</v>
      </c>
      <c r="H72">
        <v>1</v>
      </c>
      <c r="I72">
        <v>479.2</v>
      </c>
      <c r="J72">
        <v>0.47920000000000001</v>
      </c>
      <c r="K72" t="s">
        <v>90</v>
      </c>
      <c r="L72">
        <v>0</v>
      </c>
      <c r="M72">
        <v>0</v>
      </c>
      <c r="N72">
        <v>0</v>
      </c>
    </row>
    <row r="73" spans="1:14" x14ac:dyDescent="0.45">
      <c r="A73" t="s">
        <v>14</v>
      </c>
      <c r="B73">
        <v>21</v>
      </c>
      <c r="C73" t="s">
        <v>15</v>
      </c>
      <c r="D73">
        <v>49</v>
      </c>
      <c r="E73">
        <v>51</v>
      </c>
      <c r="F73" t="s">
        <v>22</v>
      </c>
      <c r="G73" t="s">
        <v>16</v>
      </c>
      <c r="H73">
        <v>0</v>
      </c>
      <c r="I73">
        <v>475</v>
      </c>
      <c r="J73">
        <v>0.47499999999999998</v>
      </c>
      <c r="K73" t="s">
        <v>91</v>
      </c>
      <c r="L73">
        <v>0</v>
      </c>
      <c r="M73">
        <v>0</v>
      </c>
      <c r="N73">
        <v>0</v>
      </c>
    </row>
    <row r="74" spans="1:14" x14ac:dyDescent="0.45">
      <c r="A74" t="s">
        <v>14</v>
      </c>
      <c r="B74">
        <v>27</v>
      </c>
      <c r="C74" t="s">
        <v>15</v>
      </c>
      <c r="D74">
        <v>49</v>
      </c>
      <c r="E74">
        <v>51</v>
      </c>
      <c r="F74" t="s">
        <v>22</v>
      </c>
      <c r="G74" t="s">
        <v>22</v>
      </c>
      <c r="H74">
        <v>1</v>
      </c>
      <c r="I74">
        <v>617.6</v>
      </c>
      <c r="J74">
        <v>0.61760000000000004</v>
      </c>
      <c r="K74" t="s">
        <v>92</v>
      </c>
      <c r="L74">
        <v>0</v>
      </c>
      <c r="M74">
        <v>0</v>
      </c>
      <c r="N74">
        <v>0</v>
      </c>
    </row>
    <row r="75" spans="1:14" x14ac:dyDescent="0.45">
      <c r="A75" t="s">
        <v>14</v>
      </c>
      <c r="B75">
        <v>31</v>
      </c>
      <c r="C75" t="s">
        <v>15</v>
      </c>
      <c r="D75">
        <v>51</v>
      </c>
      <c r="E75">
        <v>49</v>
      </c>
      <c r="F75" t="s">
        <v>16</v>
      </c>
      <c r="G75" t="s">
        <v>16</v>
      </c>
      <c r="H75">
        <v>1</v>
      </c>
      <c r="I75">
        <v>490.4</v>
      </c>
      <c r="J75">
        <v>0.4904</v>
      </c>
      <c r="K75" t="s">
        <v>93</v>
      </c>
      <c r="L75">
        <v>0</v>
      </c>
      <c r="M75">
        <v>0</v>
      </c>
      <c r="N75">
        <v>0</v>
      </c>
    </row>
    <row r="76" spans="1:14" x14ac:dyDescent="0.45">
      <c r="A76" t="s">
        <v>14</v>
      </c>
      <c r="B76">
        <v>35</v>
      </c>
      <c r="C76" t="s">
        <v>15</v>
      </c>
      <c r="D76">
        <v>48</v>
      </c>
      <c r="E76">
        <v>52</v>
      </c>
      <c r="F76" t="s">
        <v>22</v>
      </c>
      <c r="G76" t="s">
        <v>16</v>
      </c>
      <c r="H76">
        <v>0</v>
      </c>
      <c r="I76">
        <v>514.79999999999995</v>
      </c>
      <c r="J76">
        <v>0.51480000000000004</v>
      </c>
      <c r="K76" t="s">
        <v>94</v>
      </c>
      <c r="L76">
        <v>0</v>
      </c>
      <c r="M76">
        <v>0</v>
      </c>
      <c r="N76">
        <v>0</v>
      </c>
    </row>
    <row r="77" spans="1:14" x14ac:dyDescent="0.45">
      <c r="A77" t="s">
        <v>14</v>
      </c>
      <c r="B77">
        <v>38</v>
      </c>
      <c r="C77" t="s">
        <v>15</v>
      </c>
      <c r="D77">
        <v>45</v>
      </c>
      <c r="E77">
        <v>55</v>
      </c>
      <c r="F77" t="s">
        <v>22</v>
      </c>
      <c r="G77" t="s">
        <v>16</v>
      </c>
      <c r="H77">
        <v>0</v>
      </c>
      <c r="I77">
        <v>668.7</v>
      </c>
      <c r="J77">
        <v>0.66869999999999996</v>
      </c>
      <c r="K77" t="s">
        <v>95</v>
      </c>
      <c r="L77">
        <v>0</v>
      </c>
      <c r="M77">
        <v>0</v>
      </c>
      <c r="N77">
        <v>0</v>
      </c>
    </row>
    <row r="78" spans="1:14" x14ac:dyDescent="0.45">
      <c r="A78" t="s">
        <v>14</v>
      </c>
      <c r="B78">
        <v>39</v>
      </c>
      <c r="C78" t="s">
        <v>15</v>
      </c>
      <c r="D78">
        <v>51</v>
      </c>
      <c r="E78">
        <v>49</v>
      </c>
      <c r="F78" t="s">
        <v>16</v>
      </c>
      <c r="G78" t="s">
        <v>16</v>
      </c>
      <c r="H78">
        <v>1</v>
      </c>
      <c r="I78">
        <v>593.79999999999995</v>
      </c>
      <c r="J78">
        <v>0.59379999999999999</v>
      </c>
      <c r="K78" t="s">
        <v>96</v>
      </c>
      <c r="L78">
        <v>0</v>
      </c>
      <c r="M78">
        <v>0</v>
      </c>
      <c r="N78">
        <v>0</v>
      </c>
    </row>
    <row r="79" spans="1:14" x14ac:dyDescent="0.45">
      <c r="A79" t="s">
        <v>14</v>
      </c>
      <c r="B79">
        <v>49</v>
      </c>
      <c r="C79" t="s">
        <v>15</v>
      </c>
      <c r="D79">
        <v>55</v>
      </c>
      <c r="E79">
        <v>45</v>
      </c>
      <c r="F79" t="s">
        <v>16</v>
      </c>
      <c r="G79" t="s">
        <v>16</v>
      </c>
      <c r="H79">
        <v>1</v>
      </c>
      <c r="I79">
        <v>598.4</v>
      </c>
      <c r="J79">
        <v>0.59840000000000004</v>
      </c>
      <c r="K79" t="s">
        <v>97</v>
      </c>
      <c r="L79">
        <v>0</v>
      </c>
      <c r="M79">
        <v>0</v>
      </c>
      <c r="N79">
        <v>0</v>
      </c>
    </row>
    <row r="80" spans="1:14" x14ac:dyDescent="0.45">
      <c r="A80" t="s">
        <v>14</v>
      </c>
      <c r="B80">
        <v>50</v>
      </c>
      <c r="C80" t="s">
        <v>15</v>
      </c>
      <c r="D80">
        <v>53</v>
      </c>
      <c r="E80">
        <v>47</v>
      </c>
      <c r="F80" t="s">
        <v>16</v>
      </c>
      <c r="G80" t="s">
        <v>16</v>
      </c>
      <c r="H80">
        <v>1</v>
      </c>
      <c r="I80">
        <v>673.1</v>
      </c>
      <c r="J80">
        <v>0.67310000000000003</v>
      </c>
      <c r="K80" t="s">
        <v>98</v>
      </c>
      <c r="L80">
        <v>0</v>
      </c>
      <c r="M80">
        <v>0</v>
      </c>
      <c r="N80">
        <v>0</v>
      </c>
    </row>
    <row r="81" spans="1:14" x14ac:dyDescent="0.45">
      <c r="A81" t="s">
        <v>14</v>
      </c>
      <c r="B81">
        <v>54</v>
      </c>
      <c r="C81" t="s">
        <v>15</v>
      </c>
      <c r="D81">
        <v>53</v>
      </c>
      <c r="E81">
        <v>47</v>
      </c>
      <c r="F81" t="s">
        <v>16</v>
      </c>
      <c r="G81" t="s">
        <v>16</v>
      </c>
      <c r="H81">
        <v>1</v>
      </c>
      <c r="I81">
        <v>664</v>
      </c>
      <c r="J81">
        <v>0.66400000000000003</v>
      </c>
      <c r="K81" t="s">
        <v>99</v>
      </c>
      <c r="L81">
        <v>0</v>
      </c>
      <c r="M81">
        <v>0</v>
      </c>
      <c r="N81">
        <v>0</v>
      </c>
    </row>
    <row r="82" spans="1:14" x14ac:dyDescent="0.45">
      <c r="A82" t="s">
        <v>14</v>
      </c>
      <c r="B82">
        <v>56</v>
      </c>
      <c r="C82" t="s">
        <v>15</v>
      </c>
      <c r="D82">
        <v>54</v>
      </c>
      <c r="E82">
        <v>46</v>
      </c>
      <c r="F82" t="s">
        <v>16</v>
      </c>
      <c r="G82" t="s">
        <v>16</v>
      </c>
      <c r="H82">
        <v>1</v>
      </c>
      <c r="I82">
        <v>487.2</v>
      </c>
      <c r="J82">
        <v>0.48720000000000002</v>
      </c>
      <c r="K82" t="s">
        <v>100</v>
      </c>
      <c r="L82">
        <v>0</v>
      </c>
      <c r="M82">
        <v>0</v>
      </c>
      <c r="N82">
        <v>0</v>
      </c>
    </row>
    <row r="83" spans="1:14" x14ac:dyDescent="0.45">
      <c r="A83" t="s">
        <v>14</v>
      </c>
      <c r="B83">
        <v>60</v>
      </c>
      <c r="C83" t="s">
        <v>15</v>
      </c>
      <c r="D83">
        <v>47</v>
      </c>
      <c r="E83">
        <v>53</v>
      </c>
      <c r="F83" t="s">
        <v>22</v>
      </c>
      <c r="G83" t="s">
        <v>16</v>
      </c>
      <c r="H83">
        <v>0</v>
      </c>
      <c r="I83">
        <v>522.9</v>
      </c>
      <c r="J83">
        <v>0.52290000000000003</v>
      </c>
      <c r="K83" t="s">
        <v>101</v>
      </c>
      <c r="L83">
        <v>0</v>
      </c>
      <c r="M83">
        <v>0</v>
      </c>
      <c r="N83">
        <v>0</v>
      </c>
    </row>
    <row r="84" spans="1:14" x14ac:dyDescent="0.45">
      <c r="A84" t="s">
        <v>14</v>
      </c>
      <c r="B84">
        <v>63</v>
      </c>
      <c r="C84" t="s">
        <v>15</v>
      </c>
      <c r="D84">
        <v>54</v>
      </c>
      <c r="E84">
        <v>46</v>
      </c>
      <c r="F84" t="s">
        <v>16</v>
      </c>
      <c r="G84" t="s">
        <v>16</v>
      </c>
      <c r="H84">
        <v>1</v>
      </c>
      <c r="I84">
        <v>463.6</v>
      </c>
      <c r="J84">
        <v>0.46360000000000001</v>
      </c>
      <c r="K84" t="s">
        <v>102</v>
      </c>
      <c r="L84">
        <v>0</v>
      </c>
      <c r="M84">
        <v>0</v>
      </c>
      <c r="N84">
        <v>0</v>
      </c>
    </row>
    <row r="85" spans="1:14" x14ac:dyDescent="0.45">
      <c r="A85" t="s">
        <v>14</v>
      </c>
      <c r="B85">
        <v>66</v>
      </c>
      <c r="C85" t="s">
        <v>15</v>
      </c>
      <c r="D85">
        <v>53</v>
      </c>
      <c r="E85">
        <v>47</v>
      </c>
      <c r="F85" t="s">
        <v>16</v>
      </c>
      <c r="G85" t="s">
        <v>16</v>
      </c>
      <c r="H85">
        <v>1</v>
      </c>
      <c r="I85">
        <v>470</v>
      </c>
      <c r="J85">
        <v>0.47</v>
      </c>
      <c r="K85" t="s">
        <v>103</v>
      </c>
      <c r="L85">
        <v>0</v>
      </c>
      <c r="M85">
        <v>0</v>
      </c>
      <c r="N85">
        <v>0</v>
      </c>
    </row>
    <row r="86" spans="1:14" x14ac:dyDescent="0.45">
      <c r="A86" t="s">
        <v>14</v>
      </c>
      <c r="B86">
        <v>67</v>
      </c>
      <c r="C86" t="s">
        <v>15</v>
      </c>
      <c r="D86">
        <v>45</v>
      </c>
      <c r="E86">
        <v>55</v>
      </c>
      <c r="F86" t="s">
        <v>22</v>
      </c>
      <c r="G86" t="s">
        <v>16</v>
      </c>
      <c r="H86">
        <v>0</v>
      </c>
      <c r="I86">
        <v>642</v>
      </c>
      <c r="J86">
        <v>0.64200000000000002</v>
      </c>
      <c r="K86" t="s">
        <v>104</v>
      </c>
      <c r="L86">
        <v>0</v>
      </c>
      <c r="M86">
        <v>0</v>
      </c>
      <c r="N86">
        <v>0</v>
      </c>
    </row>
    <row r="87" spans="1:14" x14ac:dyDescent="0.45">
      <c r="A87" t="s">
        <v>14</v>
      </c>
      <c r="B87">
        <v>69</v>
      </c>
      <c r="C87" t="s">
        <v>15</v>
      </c>
      <c r="D87">
        <v>47</v>
      </c>
      <c r="E87">
        <v>53</v>
      </c>
      <c r="F87" t="s">
        <v>22</v>
      </c>
      <c r="G87" t="s">
        <v>22</v>
      </c>
      <c r="H87">
        <v>1</v>
      </c>
      <c r="I87">
        <v>452.7</v>
      </c>
      <c r="J87">
        <v>0.45269999999999999</v>
      </c>
      <c r="K87" t="s">
        <v>105</v>
      </c>
      <c r="L87">
        <v>0</v>
      </c>
      <c r="M87">
        <v>0</v>
      </c>
      <c r="N87">
        <v>0</v>
      </c>
    </row>
    <row r="88" spans="1:14" x14ac:dyDescent="0.45">
      <c r="A88" t="s">
        <v>14</v>
      </c>
      <c r="B88">
        <v>70</v>
      </c>
      <c r="C88" t="s">
        <v>15</v>
      </c>
      <c r="D88">
        <v>55</v>
      </c>
      <c r="E88">
        <v>45</v>
      </c>
      <c r="F88" t="s">
        <v>16</v>
      </c>
      <c r="G88" t="s">
        <v>16</v>
      </c>
      <c r="H88">
        <v>1</v>
      </c>
      <c r="I88">
        <v>481.5</v>
      </c>
      <c r="J88">
        <v>0.48149999999999998</v>
      </c>
      <c r="K88" t="s">
        <v>106</v>
      </c>
      <c r="L88">
        <v>0</v>
      </c>
      <c r="M88">
        <v>0</v>
      </c>
      <c r="N88">
        <v>0</v>
      </c>
    </row>
    <row r="89" spans="1:14" x14ac:dyDescent="0.45">
      <c r="A89" t="s">
        <v>14</v>
      </c>
      <c r="B89">
        <v>71</v>
      </c>
      <c r="C89" t="s">
        <v>15</v>
      </c>
      <c r="D89">
        <v>47</v>
      </c>
      <c r="E89">
        <v>53</v>
      </c>
      <c r="F89" t="s">
        <v>22</v>
      </c>
      <c r="G89" t="s">
        <v>22</v>
      </c>
      <c r="H89">
        <v>1</v>
      </c>
      <c r="I89">
        <v>655.9</v>
      </c>
      <c r="J89">
        <v>0.65590000000000004</v>
      </c>
      <c r="K89" t="s">
        <v>107</v>
      </c>
      <c r="L89">
        <v>0</v>
      </c>
      <c r="M89">
        <v>0</v>
      </c>
      <c r="N89">
        <v>0</v>
      </c>
    </row>
    <row r="90" spans="1:14" x14ac:dyDescent="0.45">
      <c r="A90" t="s">
        <v>14</v>
      </c>
      <c r="B90">
        <v>73</v>
      </c>
      <c r="C90" t="s">
        <v>15</v>
      </c>
      <c r="D90">
        <v>48</v>
      </c>
      <c r="E90">
        <v>52</v>
      </c>
      <c r="F90" t="s">
        <v>22</v>
      </c>
      <c r="G90" t="s">
        <v>22</v>
      </c>
      <c r="H90">
        <v>1</v>
      </c>
      <c r="I90">
        <v>682.5</v>
      </c>
      <c r="J90">
        <v>0.6825</v>
      </c>
      <c r="K90" t="s">
        <v>108</v>
      </c>
      <c r="L90">
        <v>0</v>
      </c>
      <c r="M90">
        <v>0</v>
      </c>
      <c r="N90">
        <v>0</v>
      </c>
    </row>
    <row r="91" spans="1:14" x14ac:dyDescent="0.45">
      <c r="A91" t="s">
        <v>14</v>
      </c>
      <c r="B91">
        <v>76</v>
      </c>
      <c r="C91" t="s">
        <v>15</v>
      </c>
      <c r="D91">
        <v>48</v>
      </c>
      <c r="E91">
        <v>52</v>
      </c>
      <c r="F91" t="s">
        <v>22</v>
      </c>
      <c r="G91" t="s">
        <v>16</v>
      </c>
      <c r="H91">
        <v>0</v>
      </c>
      <c r="I91">
        <v>518.79999999999995</v>
      </c>
      <c r="J91">
        <v>0.51880000000000004</v>
      </c>
      <c r="K91" t="s">
        <v>109</v>
      </c>
      <c r="L91">
        <v>0</v>
      </c>
      <c r="M91">
        <v>0</v>
      </c>
      <c r="N91">
        <v>0</v>
      </c>
    </row>
    <row r="92" spans="1:14" x14ac:dyDescent="0.45">
      <c r="A92" t="s">
        <v>14</v>
      </c>
      <c r="B92">
        <v>78</v>
      </c>
      <c r="C92" t="s">
        <v>15</v>
      </c>
      <c r="D92">
        <v>54</v>
      </c>
      <c r="E92">
        <v>46</v>
      </c>
      <c r="F92" t="s">
        <v>16</v>
      </c>
      <c r="G92" t="s">
        <v>16</v>
      </c>
      <c r="H92">
        <v>1</v>
      </c>
      <c r="I92">
        <v>698.9</v>
      </c>
      <c r="J92">
        <v>0.69889999999999997</v>
      </c>
      <c r="K92" t="s">
        <v>110</v>
      </c>
      <c r="L92">
        <v>0</v>
      </c>
      <c r="M92">
        <v>0</v>
      </c>
      <c r="N92">
        <v>0</v>
      </c>
    </row>
    <row r="93" spans="1:14" x14ac:dyDescent="0.45">
      <c r="A93" t="s">
        <v>14</v>
      </c>
      <c r="B93">
        <v>79</v>
      </c>
      <c r="C93" t="s">
        <v>15</v>
      </c>
      <c r="D93">
        <v>51</v>
      </c>
      <c r="E93">
        <v>49</v>
      </c>
      <c r="F93" t="s">
        <v>16</v>
      </c>
      <c r="G93" t="s">
        <v>16</v>
      </c>
      <c r="H93">
        <v>1</v>
      </c>
      <c r="I93">
        <v>796.6</v>
      </c>
      <c r="J93">
        <v>0.79659999999999997</v>
      </c>
      <c r="K93" t="s">
        <v>111</v>
      </c>
      <c r="L93">
        <v>0</v>
      </c>
      <c r="M93">
        <v>0</v>
      </c>
      <c r="N93">
        <v>0</v>
      </c>
    </row>
    <row r="94" spans="1:14" x14ac:dyDescent="0.45">
      <c r="A94" t="s">
        <v>14</v>
      </c>
      <c r="B94">
        <v>84</v>
      </c>
      <c r="C94" t="s">
        <v>15</v>
      </c>
      <c r="D94">
        <v>51</v>
      </c>
      <c r="E94">
        <v>49</v>
      </c>
      <c r="F94" t="s">
        <v>16</v>
      </c>
      <c r="G94" t="s">
        <v>16</v>
      </c>
      <c r="H94">
        <v>1</v>
      </c>
      <c r="I94">
        <v>605.1</v>
      </c>
      <c r="J94">
        <v>0.60509999999999997</v>
      </c>
      <c r="K94" t="s">
        <v>112</v>
      </c>
      <c r="L94">
        <v>0</v>
      </c>
      <c r="M94">
        <v>0</v>
      </c>
      <c r="N94">
        <v>0</v>
      </c>
    </row>
    <row r="95" spans="1:14" x14ac:dyDescent="0.45">
      <c r="A95" t="s">
        <v>14</v>
      </c>
      <c r="B95">
        <v>85</v>
      </c>
      <c r="C95" t="s">
        <v>15</v>
      </c>
      <c r="D95">
        <v>52</v>
      </c>
      <c r="E95">
        <v>48</v>
      </c>
      <c r="F95" t="s">
        <v>16</v>
      </c>
      <c r="G95" t="s">
        <v>16</v>
      </c>
      <c r="H95">
        <v>1</v>
      </c>
      <c r="I95">
        <v>650.79999999999995</v>
      </c>
      <c r="J95">
        <v>0.65080000000000005</v>
      </c>
      <c r="K95" t="s">
        <v>113</v>
      </c>
      <c r="L95">
        <v>0</v>
      </c>
      <c r="M95">
        <v>0</v>
      </c>
      <c r="N95">
        <v>0</v>
      </c>
    </row>
    <row r="96" spans="1:14" x14ac:dyDescent="0.45">
      <c r="A96" t="s">
        <v>14</v>
      </c>
      <c r="B96">
        <v>86</v>
      </c>
      <c r="C96" t="s">
        <v>15</v>
      </c>
      <c r="D96">
        <v>46</v>
      </c>
      <c r="E96">
        <v>54</v>
      </c>
      <c r="F96" t="s">
        <v>22</v>
      </c>
      <c r="G96" t="s">
        <v>22</v>
      </c>
      <c r="H96">
        <v>1</v>
      </c>
      <c r="I96">
        <v>807.8</v>
      </c>
      <c r="J96">
        <v>0.80779999999999996</v>
      </c>
      <c r="K96" t="s">
        <v>114</v>
      </c>
      <c r="L96">
        <v>0</v>
      </c>
      <c r="M96">
        <v>0</v>
      </c>
      <c r="N96">
        <v>0</v>
      </c>
    </row>
    <row r="97" spans="1:14" x14ac:dyDescent="0.45">
      <c r="A97" t="s">
        <v>14</v>
      </c>
      <c r="B97">
        <v>87</v>
      </c>
      <c r="C97" t="s">
        <v>15</v>
      </c>
      <c r="D97">
        <v>51</v>
      </c>
      <c r="E97">
        <v>49</v>
      </c>
      <c r="F97" t="s">
        <v>16</v>
      </c>
      <c r="G97" t="s">
        <v>16</v>
      </c>
      <c r="H97">
        <v>1</v>
      </c>
      <c r="I97">
        <v>747.5</v>
      </c>
      <c r="J97">
        <v>0.74750000000000005</v>
      </c>
      <c r="K97" t="s">
        <v>115</v>
      </c>
      <c r="L97">
        <v>0</v>
      </c>
      <c r="M97">
        <v>0</v>
      </c>
      <c r="N97">
        <v>0</v>
      </c>
    </row>
    <row r="98" spans="1:14" x14ac:dyDescent="0.45">
      <c r="A98" t="s">
        <v>14</v>
      </c>
      <c r="B98">
        <v>91</v>
      </c>
      <c r="C98" t="s">
        <v>15</v>
      </c>
      <c r="D98">
        <v>51</v>
      </c>
      <c r="E98">
        <v>49</v>
      </c>
      <c r="F98" t="s">
        <v>16</v>
      </c>
      <c r="G98" t="s">
        <v>16</v>
      </c>
      <c r="H98">
        <v>1</v>
      </c>
      <c r="I98">
        <v>575.9</v>
      </c>
      <c r="J98">
        <v>0.57589999999999997</v>
      </c>
      <c r="K98" t="s">
        <v>116</v>
      </c>
      <c r="L98">
        <v>0</v>
      </c>
      <c r="M98">
        <v>0</v>
      </c>
      <c r="N98">
        <v>0</v>
      </c>
    </row>
    <row r="99" spans="1:14" x14ac:dyDescent="0.45">
      <c r="A99" t="s">
        <v>14</v>
      </c>
      <c r="B99">
        <v>92</v>
      </c>
      <c r="C99" t="s">
        <v>15</v>
      </c>
      <c r="D99">
        <v>54</v>
      </c>
      <c r="E99">
        <v>46</v>
      </c>
      <c r="F99" t="s">
        <v>16</v>
      </c>
      <c r="G99" t="s">
        <v>16</v>
      </c>
      <c r="H99">
        <v>1</v>
      </c>
      <c r="I99">
        <v>574.20000000000005</v>
      </c>
      <c r="J99">
        <v>0.57420000000000004</v>
      </c>
      <c r="K99" t="s">
        <v>117</v>
      </c>
      <c r="L99">
        <v>0</v>
      </c>
      <c r="M99">
        <v>0</v>
      </c>
      <c r="N99">
        <v>0</v>
      </c>
    </row>
    <row r="100" spans="1:14" x14ac:dyDescent="0.45">
      <c r="A100" t="s">
        <v>14</v>
      </c>
      <c r="B100">
        <v>97</v>
      </c>
      <c r="C100" t="s">
        <v>15</v>
      </c>
      <c r="D100">
        <v>54</v>
      </c>
      <c r="E100">
        <v>46</v>
      </c>
      <c r="F100" t="s">
        <v>16</v>
      </c>
      <c r="G100" t="s">
        <v>22</v>
      </c>
      <c r="H100">
        <v>0</v>
      </c>
      <c r="I100">
        <v>719.1</v>
      </c>
      <c r="J100">
        <v>0.71909999999999996</v>
      </c>
      <c r="K100" t="s">
        <v>118</v>
      </c>
      <c r="L100">
        <v>0</v>
      </c>
      <c r="M100">
        <v>0</v>
      </c>
      <c r="N100">
        <v>0</v>
      </c>
    </row>
    <row r="101" spans="1:14" x14ac:dyDescent="0.45">
      <c r="A101" t="s">
        <v>14</v>
      </c>
      <c r="B101">
        <v>99</v>
      </c>
      <c r="C101" t="s">
        <v>15</v>
      </c>
      <c r="D101">
        <v>51</v>
      </c>
      <c r="E101">
        <v>49</v>
      </c>
      <c r="F101" t="s">
        <v>16</v>
      </c>
      <c r="G101" t="s">
        <v>16</v>
      </c>
      <c r="H101">
        <v>1</v>
      </c>
      <c r="I101">
        <v>745.4</v>
      </c>
      <c r="J101">
        <v>0.74539999999999995</v>
      </c>
      <c r="K101" t="s">
        <v>119</v>
      </c>
      <c r="L101">
        <v>0</v>
      </c>
      <c r="M101">
        <v>0</v>
      </c>
      <c r="N101">
        <v>0</v>
      </c>
    </row>
    <row r="104" spans="1:14" x14ac:dyDescent="0.45">
      <c r="B104" t="s">
        <v>134</v>
      </c>
      <c r="C104" t="s">
        <v>7</v>
      </c>
    </row>
  </sheetData>
  <sortState xmlns:xlrd2="http://schemas.microsoft.com/office/spreadsheetml/2017/richdata2" ref="B2:J101">
    <sortCondition ref="C2:C101" customList="Easy,Medium,Hard"/>
  </sortState>
  <pageMargins left="0.7" right="0.7" top="0.75" bottom="0.75" header="0.3" footer="0.3"/>
  <ignoredErrors>
    <ignoredError sqref="A1:N1 A2:A101 K2:N10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5"/>
  <sheetViews>
    <sheetView workbookViewId="0">
      <selection activeCell="H11" sqref="H11"/>
    </sheetView>
  </sheetViews>
  <sheetFormatPr defaultRowHeight="15.9" x14ac:dyDescent="0.45"/>
  <sheetData>
    <row r="1" spans="1:3" x14ac:dyDescent="0.45">
      <c r="A1" t="s">
        <v>120</v>
      </c>
      <c r="B1" t="s">
        <v>121</v>
      </c>
      <c r="C1" t="s">
        <v>122</v>
      </c>
    </row>
    <row r="2" spans="1:3" x14ac:dyDescent="0.45">
      <c r="A2">
        <v>434.7</v>
      </c>
      <c r="B2">
        <v>633</v>
      </c>
      <c r="C2">
        <v>988</v>
      </c>
    </row>
    <row r="3" spans="1:3" x14ac:dyDescent="0.45">
      <c r="A3">
        <v>390.8</v>
      </c>
      <c r="B3">
        <v>466.8</v>
      </c>
      <c r="C3">
        <v>547.20000000000005</v>
      </c>
    </row>
    <row r="4" spans="1:3" x14ac:dyDescent="0.45">
      <c r="A4">
        <v>350.9</v>
      </c>
      <c r="B4">
        <v>447.3</v>
      </c>
      <c r="C4">
        <v>603.9</v>
      </c>
    </row>
    <row r="5" spans="1:3" x14ac:dyDescent="0.45">
      <c r="A5">
        <v>455.4</v>
      </c>
      <c r="B5">
        <v>440.5</v>
      </c>
      <c r="C5">
        <v>479.2</v>
      </c>
    </row>
    <row r="6" spans="1:3" x14ac:dyDescent="0.45">
      <c r="A6">
        <v>489.2</v>
      </c>
      <c r="B6">
        <v>438.6</v>
      </c>
      <c r="C6">
        <v>475</v>
      </c>
    </row>
    <row r="7" spans="1:3" x14ac:dyDescent="0.45">
      <c r="A7">
        <v>411</v>
      </c>
      <c r="B7">
        <v>410.5</v>
      </c>
      <c r="C7">
        <v>617.6</v>
      </c>
    </row>
    <row r="8" spans="1:3" x14ac:dyDescent="0.45">
      <c r="A8">
        <v>391.1</v>
      </c>
      <c r="B8">
        <v>538.6</v>
      </c>
      <c r="C8">
        <v>490.4</v>
      </c>
    </row>
    <row r="9" spans="1:3" x14ac:dyDescent="0.45">
      <c r="A9">
        <v>407.6</v>
      </c>
      <c r="B9">
        <v>387.8</v>
      </c>
      <c r="C9">
        <v>514.79999999999995</v>
      </c>
    </row>
    <row r="10" spans="1:3" x14ac:dyDescent="0.45">
      <c r="A10">
        <v>369.3</v>
      </c>
      <c r="B10">
        <v>396.2</v>
      </c>
      <c r="C10">
        <v>668.7</v>
      </c>
    </row>
    <row r="11" spans="1:3" x14ac:dyDescent="0.45">
      <c r="A11">
        <v>376.3</v>
      </c>
      <c r="B11">
        <v>571.1</v>
      </c>
      <c r="C11">
        <v>593.79999999999995</v>
      </c>
    </row>
    <row r="12" spans="1:3" x14ac:dyDescent="0.45">
      <c r="A12">
        <v>378.3</v>
      </c>
      <c r="B12">
        <v>415.8</v>
      </c>
      <c r="C12">
        <v>598.4</v>
      </c>
    </row>
    <row r="13" spans="1:3" x14ac:dyDescent="0.45">
      <c r="A13">
        <v>389.4</v>
      </c>
      <c r="B13">
        <v>407.1</v>
      </c>
      <c r="C13">
        <v>673.1</v>
      </c>
    </row>
    <row r="14" spans="1:3" x14ac:dyDescent="0.45">
      <c r="A14">
        <v>395.1</v>
      </c>
      <c r="B14">
        <v>579.79999999999995</v>
      </c>
      <c r="C14">
        <v>664</v>
      </c>
    </row>
    <row r="15" spans="1:3" x14ac:dyDescent="0.45">
      <c r="A15">
        <v>746.2</v>
      </c>
      <c r="B15">
        <v>440.7</v>
      </c>
      <c r="C15">
        <v>487.2</v>
      </c>
    </row>
    <row r="16" spans="1:3" x14ac:dyDescent="0.45">
      <c r="A16">
        <v>488.6</v>
      </c>
      <c r="B16">
        <v>467.5</v>
      </c>
      <c r="C16">
        <v>522.9</v>
      </c>
    </row>
    <row r="17" spans="1:3" x14ac:dyDescent="0.45">
      <c r="A17">
        <v>451</v>
      </c>
      <c r="B17">
        <v>545.4</v>
      </c>
      <c r="C17">
        <v>463.6</v>
      </c>
    </row>
    <row r="18" spans="1:3" x14ac:dyDescent="0.45">
      <c r="A18">
        <v>591.6</v>
      </c>
      <c r="B18">
        <v>581.9</v>
      </c>
      <c r="C18">
        <v>470</v>
      </c>
    </row>
    <row r="19" spans="1:3" x14ac:dyDescent="0.45">
      <c r="A19">
        <v>566.20000000000005</v>
      </c>
      <c r="B19">
        <v>682.1</v>
      </c>
      <c r="C19">
        <v>642</v>
      </c>
    </row>
    <row r="20" spans="1:3" x14ac:dyDescent="0.45">
      <c r="A20">
        <v>412.2</v>
      </c>
      <c r="B20">
        <v>681.6</v>
      </c>
      <c r="C20">
        <v>452.7</v>
      </c>
    </row>
    <row r="21" spans="1:3" x14ac:dyDescent="0.45">
      <c r="A21">
        <v>454.8</v>
      </c>
      <c r="B21">
        <v>440.7</v>
      </c>
      <c r="C21">
        <v>481.5</v>
      </c>
    </row>
    <row r="22" spans="1:3" x14ac:dyDescent="0.45">
      <c r="A22">
        <v>411.9</v>
      </c>
      <c r="B22">
        <v>443.7</v>
      </c>
      <c r="C22">
        <v>655.9</v>
      </c>
    </row>
    <row r="23" spans="1:3" x14ac:dyDescent="0.45">
      <c r="A23">
        <v>429.3</v>
      </c>
      <c r="B23">
        <v>772.3</v>
      </c>
      <c r="C23">
        <v>682.5</v>
      </c>
    </row>
    <row r="24" spans="1:3" x14ac:dyDescent="0.45">
      <c r="A24">
        <v>561.20000000000005</v>
      </c>
      <c r="B24">
        <v>570</v>
      </c>
      <c r="C24">
        <v>518.79999999999995</v>
      </c>
    </row>
    <row r="25" spans="1:3" x14ac:dyDescent="0.45">
      <c r="A25">
        <v>397.5</v>
      </c>
      <c r="B25">
        <v>365</v>
      </c>
      <c r="C25">
        <v>698.9</v>
      </c>
    </row>
    <row r="26" spans="1:3" x14ac:dyDescent="0.45">
      <c r="A26">
        <v>436.9</v>
      </c>
      <c r="B26">
        <v>376.3</v>
      </c>
      <c r="C26">
        <v>796.6</v>
      </c>
    </row>
    <row r="27" spans="1:3" x14ac:dyDescent="0.45">
      <c r="A27">
        <v>539.20000000000005</v>
      </c>
      <c r="B27">
        <v>483.1</v>
      </c>
      <c r="C27">
        <v>605.1</v>
      </c>
    </row>
    <row r="28" spans="1:3" x14ac:dyDescent="0.45">
      <c r="A28">
        <v>637.79999999999995</v>
      </c>
      <c r="B28">
        <v>488.4</v>
      </c>
      <c r="C28">
        <v>650.79999999999995</v>
      </c>
    </row>
    <row r="29" spans="1:3" x14ac:dyDescent="0.45">
      <c r="A29">
        <v>445.9</v>
      </c>
      <c r="B29">
        <v>614.20000000000005</v>
      </c>
      <c r="C29">
        <v>807.8</v>
      </c>
    </row>
    <row r="30" spans="1:3" x14ac:dyDescent="0.45">
      <c r="A30">
        <v>466</v>
      </c>
      <c r="B30">
        <v>669.2</v>
      </c>
      <c r="C30">
        <v>747.5</v>
      </c>
    </row>
    <row r="31" spans="1:3" x14ac:dyDescent="0.45">
      <c r="A31">
        <v>560.29999999999995</v>
      </c>
      <c r="B31">
        <v>479.7</v>
      </c>
      <c r="C31">
        <v>575.9</v>
      </c>
    </row>
    <row r="32" spans="1:3" x14ac:dyDescent="0.45">
      <c r="A32">
        <v>493.9</v>
      </c>
      <c r="B32">
        <v>522.5</v>
      </c>
      <c r="C32">
        <v>574.20000000000005</v>
      </c>
    </row>
    <row r="33" spans="1:3" x14ac:dyDescent="0.45">
      <c r="A33">
        <v>488</v>
      </c>
      <c r="B33">
        <v>570.20000000000005</v>
      </c>
      <c r="C33">
        <v>719.1</v>
      </c>
    </row>
    <row r="34" spans="1:3" x14ac:dyDescent="0.45">
      <c r="A34">
        <v>431</v>
      </c>
      <c r="B34">
        <v>686.8</v>
      </c>
      <c r="C34">
        <v>745.4</v>
      </c>
    </row>
    <row r="35" spans="1:3" x14ac:dyDescent="0.45">
      <c r="A35" t="s">
        <v>123</v>
      </c>
      <c r="B35">
        <v>697.5</v>
      </c>
      <c r="C35" t="s">
        <v>123</v>
      </c>
    </row>
  </sheetData>
  <pageMargins left="0.7" right="0.7" top="0.75" bottom="0.75" header="0.3" footer="0.3"/>
  <ignoredErrors>
    <ignoredError sqref="A1:C3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C263D-6EDA-4E3F-BCF5-AC3BD505BE3A}">
  <dimension ref="A1:J2"/>
  <sheetViews>
    <sheetView workbookViewId="0">
      <selection activeCell="J2" activeCellId="2" sqref="F2 H2 J2"/>
    </sheetView>
  </sheetViews>
  <sheetFormatPr defaultRowHeight="15.9" x14ac:dyDescent="0.45"/>
  <cols>
    <col min="1" max="1" width="13.85546875" bestFit="1" customWidth="1"/>
    <col min="2" max="2" width="16.42578125" bestFit="1" customWidth="1"/>
    <col min="3" max="3" width="15.85546875" bestFit="1" customWidth="1"/>
    <col min="4" max="4" width="17.42578125" bestFit="1" customWidth="1"/>
    <col min="5" max="5" width="14.0703125" bestFit="1" customWidth="1"/>
    <col min="6" max="6" width="13.5" bestFit="1" customWidth="1"/>
    <col min="7" max="7" width="17.42578125" bestFit="1" customWidth="1"/>
    <col min="8" max="8" width="16.85546875" bestFit="1" customWidth="1"/>
    <col min="9" max="9" width="14.42578125" bestFit="1" customWidth="1"/>
    <col min="10" max="10" width="13.85546875" bestFit="1" customWidth="1"/>
  </cols>
  <sheetData>
    <row r="1" spans="1:10" x14ac:dyDescent="0.45">
      <c r="A1" t="s">
        <v>0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  <c r="I1" t="s">
        <v>131</v>
      </c>
      <c r="J1" t="s">
        <v>132</v>
      </c>
    </row>
    <row r="2" spans="1:10" x14ac:dyDescent="0.45">
      <c r="A2" t="s">
        <v>135</v>
      </c>
      <c r="B2">
        <v>90</v>
      </c>
      <c r="C2">
        <v>552.1</v>
      </c>
      <c r="D2">
        <v>514.70000000000005</v>
      </c>
      <c r="E2">
        <v>100</v>
      </c>
      <c r="F2">
        <v>453.4</v>
      </c>
      <c r="G2">
        <v>97.1</v>
      </c>
      <c r="H2">
        <v>557.4</v>
      </c>
      <c r="I2">
        <v>72.7</v>
      </c>
      <c r="J2">
        <v>645.29999999999995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6:O42"/>
  <sheetViews>
    <sheetView tabSelected="1" zoomScale="118" workbookViewId="0">
      <selection activeCell="O15" sqref="O15"/>
    </sheetView>
  </sheetViews>
  <sheetFormatPr defaultRowHeight="15.9" x14ac:dyDescent="0.45"/>
  <sheetData>
    <row r="6" spans="2:15" x14ac:dyDescent="0.45">
      <c r="C6" t="s">
        <v>133</v>
      </c>
      <c r="D6" t="s">
        <v>7</v>
      </c>
      <c r="E6" t="s">
        <v>7</v>
      </c>
      <c r="F6" t="s">
        <v>7</v>
      </c>
      <c r="G6" t="s">
        <v>7</v>
      </c>
      <c r="H6" t="s">
        <v>7</v>
      </c>
      <c r="I6" t="s">
        <v>7</v>
      </c>
      <c r="J6" t="s">
        <v>7</v>
      </c>
      <c r="K6" t="s">
        <v>7</v>
      </c>
      <c r="L6" t="s">
        <v>7</v>
      </c>
      <c r="M6" t="s">
        <v>7</v>
      </c>
      <c r="N6" t="s">
        <v>7</v>
      </c>
      <c r="O6" t="s">
        <v>7</v>
      </c>
    </row>
    <row r="7" spans="2:15" x14ac:dyDescent="0.45">
      <c r="B7" t="str">
        <f>"P" &amp; TEXT(INT((ROW(A1)-1)/3)+1, "000") &amp; " - " &amp; CHOOSE(MOD(ROW(A1)-1, 3)+1, "E", "M", "H")</f>
        <v>P001 - E</v>
      </c>
      <c r="C7">
        <v>462.1</v>
      </c>
      <c r="D7">
        <v>100</v>
      </c>
    </row>
    <row r="8" spans="2:15" x14ac:dyDescent="0.45">
      <c r="B8" t="str">
        <f t="shared" ref="B8:B42" si="0">"P" &amp; TEXT(INT((ROW(A2)-1)/3)+1, "000") &amp; " - " &amp; CHOOSE(MOD(ROW(A2)-1, 3)+1, "E", "M", "H")</f>
        <v>P001 - M</v>
      </c>
      <c r="C8">
        <v>520.9</v>
      </c>
      <c r="D8">
        <v>85.3</v>
      </c>
    </row>
    <row r="9" spans="2:15" x14ac:dyDescent="0.45">
      <c r="B9" t="str">
        <f t="shared" si="0"/>
        <v>P001 - H</v>
      </c>
      <c r="C9">
        <v>612.5</v>
      </c>
      <c r="D9">
        <v>75.8</v>
      </c>
    </row>
    <row r="10" spans="2:15" x14ac:dyDescent="0.45">
      <c r="B10" t="str">
        <f t="shared" si="0"/>
        <v>P002 - E</v>
      </c>
      <c r="C10">
        <v>453.4</v>
      </c>
      <c r="E10">
        <v>100</v>
      </c>
    </row>
    <row r="11" spans="2:15" x14ac:dyDescent="0.45">
      <c r="B11" t="str">
        <f t="shared" si="0"/>
        <v>P002 - M</v>
      </c>
      <c r="C11">
        <v>557.4</v>
      </c>
      <c r="E11">
        <v>97.1</v>
      </c>
    </row>
    <row r="12" spans="2:15" x14ac:dyDescent="0.45">
      <c r="B12" t="str">
        <f t="shared" si="0"/>
        <v>P002 - H</v>
      </c>
      <c r="C12">
        <v>645.29999999999995</v>
      </c>
      <c r="E12">
        <v>72.7</v>
      </c>
    </row>
    <row r="13" spans="2:15" x14ac:dyDescent="0.45">
      <c r="B13" t="str">
        <f t="shared" si="0"/>
        <v>P003 - E</v>
      </c>
      <c r="C13">
        <v>433.7</v>
      </c>
      <c r="F13">
        <v>100</v>
      </c>
    </row>
    <row r="14" spans="2:15" x14ac:dyDescent="0.45">
      <c r="B14" t="str">
        <f t="shared" si="0"/>
        <v>P003 - M</v>
      </c>
      <c r="C14">
        <v>584.20000000000005</v>
      </c>
      <c r="F14">
        <v>91.2</v>
      </c>
    </row>
    <row r="15" spans="2:15" x14ac:dyDescent="0.45">
      <c r="B15" t="str">
        <f t="shared" si="0"/>
        <v>P003 - H</v>
      </c>
      <c r="C15">
        <v>637.4</v>
      </c>
      <c r="F15">
        <v>69.7</v>
      </c>
    </row>
    <row r="16" spans="2:15" x14ac:dyDescent="0.45">
      <c r="B16" t="str">
        <f t="shared" si="0"/>
        <v>P004 - E</v>
      </c>
    </row>
    <row r="17" spans="2:2" x14ac:dyDescent="0.45">
      <c r="B17" t="str">
        <f t="shared" si="0"/>
        <v>P004 - M</v>
      </c>
    </row>
    <row r="18" spans="2:2" x14ac:dyDescent="0.45">
      <c r="B18" t="str">
        <f t="shared" si="0"/>
        <v>P004 - H</v>
      </c>
    </row>
    <row r="19" spans="2:2" x14ac:dyDescent="0.45">
      <c r="B19" t="str">
        <f t="shared" si="0"/>
        <v>P005 - E</v>
      </c>
    </row>
    <row r="20" spans="2:2" x14ac:dyDescent="0.45">
      <c r="B20" t="str">
        <f t="shared" si="0"/>
        <v>P005 - M</v>
      </c>
    </row>
    <row r="21" spans="2:2" x14ac:dyDescent="0.45">
      <c r="B21" t="str">
        <f t="shared" si="0"/>
        <v>P005 - H</v>
      </c>
    </row>
    <row r="22" spans="2:2" x14ac:dyDescent="0.45">
      <c r="B22" t="str">
        <f t="shared" si="0"/>
        <v>P006 - E</v>
      </c>
    </row>
    <row r="23" spans="2:2" x14ac:dyDescent="0.45">
      <c r="B23" t="str">
        <f t="shared" si="0"/>
        <v>P006 - M</v>
      </c>
    </row>
    <row r="24" spans="2:2" x14ac:dyDescent="0.45">
      <c r="B24" t="str">
        <f t="shared" si="0"/>
        <v>P006 - H</v>
      </c>
    </row>
    <row r="25" spans="2:2" x14ac:dyDescent="0.45">
      <c r="B25" t="str">
        <f t="shared" si="0"/>
        <v>P007 - E</v>
      </c>
    </row>
    <row r="26" spans="2:2" x14ac:dyDescent="0.45">
      <c r="B26" t="str">
        <f t="shared" si="0"/>
        <v>P007 - M</v>
      </c>
    </row>
    <row r="27" spans="2:2" x14ac:dyDescent="0.45">
      <c r="B27" t="str">
        <f>"P" &amp; TEXT(INT((ROW(A21)-1)/3)+1, "000") &amp; " - " &amp; CHOOSE(MOD(ROW(A21)-1, 3)+1, "E", "M", "H")</f>
        <v>P007 - H</v>
      </c>
    </row>
    <row r="28" spans="2:2" x14ac:dyDescent="0.45">
      <c r="B28" t="str">
        <f t="shared" si="0"/>
        <v>P008 - E</v>
      </c>
    </row>
    <row r="29" spans="2:2" x14ac:dyDescent="0.45">
      <c r="B29" t="str">
        <f t="shared" si="0"/>
        <v>P008 - M</v>
      </c>
    </row>
    <row r="30" spans="2:2" x14ac:dyDescent="0.45">
      <c r="B30" t="str">
        <f t="shared" si="0"/>
        <v>P008 - H</v>
      </c>
    </row>
    <row r="31" spans="2:2" x14ac:dyDescent="0.45">
      <c r="B31" t="str">
        <f t="shared" si="0"/>
        <v>P009 - E</v>
      </c>
    </row>
    <row r="32" spans="2:2" x14ac:dyDescent="0.45">
      <c r="B32" t="str">
        <f>"P" &amp; TEXT(INT((ROW(A26)-1)/3)+1, "000") &amp; " - " &amp; CHOOSE(MOD(ROW(A26)-1, 3)+1, "E", "M", "H")</f>
        <v>P009 - M</v>
      </c>
    </row>
    <row r="33" spans="2:2" x14ac:dyDescent="0.45">
      <c r="B33" t="str">
        <f t="shared" si="0"/>
        <v>P009 - H</v>
      </c>
    </row>
    <row r="34" spans="2:2" x14ac:dyDescent="0.45">
      <c r="B34" t="str">
        <f>"P" &amp; TEXT(INT((ROW(A28)-1)/3)+1, "000") &amp; " - " &amp; CHOOSE(MOD(ROW(A28)-1, 3)+1, "E", "M", "H")</f>
        <v>P010 - E</v>
      </c>
    </row>
    <row r="35" spans="2:2" x14ac:dyDescent="0.45">
      <c r="B35" t="str">
        <f t="shared" si="0"/>
        <v>P010 - M</v>
      </c>
    </row>
    <row r="36" spans="2:2" x14ac:dyDescent="0.45">
      <c r="B36" t="str">
        <f t="shared" si="0"/>
        <v>P010 - H</v>
      </c>
    </row>
    <row r="37" spans="2:2" x14ac:dyDescent="0.45">
      <c r="B37" t="str">
        <f>"P" &amp; TEXT(INT((ROW(A31)-1)/3)+1, "000") &amp; " - " &amp; CHOOSE(MOD(ROW(A31)-1, 3)+1, "E", "M", "H")</f>
        <v>P011 - E</v>
      </c>
    </row>
    <row r="38" spans="2:2" x14ac:dyDescent="0.45">
      <c r="B38" t="str">
        <f t="shared" si="0"/>
        <v>P011 - M</v>
      </c>
    </row>
    <row r="39" spans="2:2" x14ac:dyDescent="0.45">
      <c r="B39" t="str">
        <f t="shared" si="0"/>
        <v>P011 - H</v>
      </c>
    </row>
    <row r="40" spans="2:2" x14ac:dyDescent="0.45">
      <c r="B40" t="str">
        <f>"P" &amp; TEXT(INT((ROW(A34)-1)/3)+1, "000") &amp; " - " &amp; CHOOSE(MOD(ROW(A34)-1, 3)+1, "E", "M", "H")</f>
        <v>P012 - E</v>
      </c>
    </row>
    <row r="41" spans="2:2" x14ac:dyDescent="0.45">
      <c r="B41" t="str">
        <f t="shared" si="0"/>
        <v>P012 - M</v>
      </c>
    </row>
    <row r="42" spans="2:2" x14ac:dyDescent="0.45">
      <c r="B42" t="str">
        <f t="shared" si="0"/>
        <v>P012 - H</v>
      </c>
    </row>
  </sheetData>
  <conditionalFormatting sqref="D10:D42">
    <cfRule type="containsBlanks" dxfId="2" priority="7">
      <formula>LEN(TRIM(D10))=0</formula>
    </cfRule>
    <cfRule type="containsBlanks" priority="8">
      <formula>LEN(TRIM(D10))=0</formula>
    </cfRule>
    <cfRule type="colorScale" priority="9">
      <colorScale>
        <cfvo type="min"/>
        <cfvo type="max"/>
        <color theme="1" tint="0.499984740745262"/>
        <color rgb="FFFFEF9C"/>
      </colorScale>
    </cfRule>
  </conditionalFormatting>
  <conditionalFormatting sqref="E13:E42">
    <cfRule type="containsBlanks" dxfId="1" priority="4">
      <formula>LEN(TRIM(E13))=0</formula>
    </cfRule>
    <cfRule type="containsBlanks" priority="5">
      <formula>LEN(TRIM(E13))=0</formula>
    </cfRule>
    <cfRule type="colorScale" priority="6">
      <colorScale>
        <cfvo type="min"/>
        <cfvo type="max"/>
        <color theme="1" tint="0.499984740745262"/>
        <color rgb="FFFFEF9C"/>
      </colorScale>
    </cfRule>
  </conditionalFormatting>
  <conditionalFormatting sqref="F16:F42">
    <cfRule type="containsBlanks" dxfId="0" priority="1">
      <formula>LEN(TRIM(F16))=0</formula>
    </cfRule>
    <cfRule type="containsBlanks" priority="2">
      <formula>LEN(TRIM(F16))=0</formula>
    </cfRule>
    <cfRule type="colorScale" priority="3">
      <colorScale>
        <cfvo type="min"/>
        <cfvo type="max"/>
        <color theme="1" tint="0.499984740745262"/>
        <color rgb="FFFFEF9C"/>
      </colorScale>
    </cfRule>
  </conditionalFormatting>
  <pageMargins left="0.7" right="0.7" top="0.75" bottom="0.75" header="0.3" footer="0.3"/>
  <pageSetup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E4049E-2120-4BB5-8225-0FA82EE81C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Trial Data</vt:lpstr>
      <vt:lpstr>RT by Difficulty</vt:lpstr>
      <vt:lpstr>Summary (2)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Brendan OOsthuizen</cp:lastModifiedBy>
  <dcterms:created xsi:type="dcterms:W3CDTF">2026-10-05T17:15:05Z</dcterms:created>
  <dcterms:modified xsi:type="dcterms:W3CDTF">2026-10-06T19:33:39Z</dcterms:modified>
</cp:coreProperties>
</file>